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rust\Downloads\"/>
    </mc:Choice>
  </mc:AlternateContent>
  <bookViews>
    <workbookView xWindow="0" yWindow="0" windowWidth="28800" windowHeight="12180" activeTab="2"/>
  </bookViews>
  <sheets>
    <sheet name="Pivot Table" sheetId="6" r:id="rId1"/>
    <sheet name="data" sheetId="1" r:id="rId2"/>
    <sheet name="Dashboard" sheetId="7" r:id="rId3"/>
  </sheets>
  <externalReferences>
    <externalReference r:id="rId4"/>
  </externalReferences>
  <definedNames>
    <definedName name="Slicer_Duration">#N/A</definedName>
    <definedName name="Slicer_End_Date">#N/A</definedName>
    <definedName name="Slicer_Manager">#N/A</definedName>
    <definedName name="Slicer_Progress">#N/A</definedName>
    <definedName name="Slicer_Project">#N/A</definedName>
    <definedName name="Slicer_Start_Date">#N/A</definedName>
  </definedNames>
  <calcPr calcId="162913"/>
  <pivotCaches>
    <pivotCache cacheId="9"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6" i="1" l="1"/>
  <c r="O14" i="1"/>
  <c r="O12" i="1"/>
  <c r="O10" i="1"/>
  <c r="O8" i="1"/>
  <c r="O6" i="1"/>
  <c r="O4" i="1"/>
  <c r="H41" i="1" l="1"/>
  <c r="F41" i="1"/>
  <c r="H40" i="1"/>
  <c r="F40" i="1"/>
  <c r="H39" i="1"/>
  <c r="F39" i="1"/>
  <c r="H38" i="1"/>
  <c r="F38" i="1"/>
  <c r="H37" i="1"/>
  <c r="F37" i="1"/>
  <c r="H36" i="1"/>
  <c r="F36" i="1"/>
  <c r="H35" i="1"/>
  <c r="F35" i="1"/>
  <c r="H34" i="1"/>
  <c r="F34" i="1"/>
  <c r="H33" i="1"/>
  <c r="F33" i="1"/>
  <c r="H32" i="1"/>
  <c r="F32" i="1"/>
  <c r="H31" i="1"/>
  <c r="F31" i="1"/>
  <c r="H30" i="1"/>
  <c r="F30" i="1"/>
  <c r="H29" i="1"/>
  <c r="F29" i="1"/>
  <c r="H28" i="1"/>
  <c r="F28" i="1"/>
  <c r="H27" i="1"/>
  <c r="F27" i="1"/>
  <c r="H26" i="1"/>
  <c r="F26" i="1"/>
  <c r="H25" i="1"/>
  <c r="F25" i="1"/>
  <c r="H24" i="1"/>
  <c r="F24" i="1"/>
  <c r="H23" i="1"/>
  <c r="F23" i="1"/>
  <c r="H22" i="1"/>
  <c r="F22" i="1"/>
  <c r="H21" i="1"/>
  <c r="F21" i="1"/>
  <c r="H20" i="1"/>
  <c r="F20" i="1"/>
  <c r="H19" i="1"/>
  <c r="F19" i="1"/>
  <c r="H18" i="1"/>
  <c r="F18" i="1"/>
  <c r="H17" i="1"/>
  <c r="F17" i="1"/>
  <c r="H16" i="1"/>
  <c r="F16" i="1"/>
  <c r="H15" i="1"/>
  <c r="F15" i="1"/>
  <c r="H14" i="1"/>
  <c r="F14" i="1"/>
  <c r="H13" i="1"/>
  <c r="F13" i="1"/>
  <c r="H12" i="1"/>
  <c r="F12" i="1"/>
  <c r="H11" i="1"/>
  <c r="F11" i="1"/>
  <c r="H10" i="1"/>
  <c r="F10" i="1"/>
  <c r="H9" i="1"/>
  <c r="F9" i="1"/>
  <c r="H8" i="1"/>
  <c r="F8" i="1"/>
  <c r="H7" i="1"/>
  <c r="F7" i="1"/>
  <c r="H6" i="1"/>
  <c r="F6" i="1"/>
  <c r="H5" i="1"/>
  <c r="F5" i="1"/>
  <c r="H4" i="1"/>
  <c r="F4" i="1"/>
  <c r="H3" i="1"/>
  <c r="F3" i="1"/>
  <c r="H2" i="1"/>
  <c r="F2" i="1"/>
</calcChain>
</file>

<file path=xl/sharedStrings.xml><?xml version="1.0" encoding="utf-8"?>
<sst xmlns="http://schemas.openxmlformats.org/spreadsheetml/2006/main" count="185" uniqueCount="50">
  <si>
    <t>Gemini</t>
  </si>
  <si>
    <t>Task 1</t>
  </si>
  <si>
    <t>Hirsch</t>
  </si>
  <si>
    <t>Task 2</t>
  </si>
  <si>
    <t>Samora</t>
  </si>
  <si>
    <t>Task 3</t>
  </si>
  <si>
    <t>McFay</t>
  </si>
  <si>
    <t>Task 4</t>
  </si>
  <si>
    <t>Wood</t>
  </si>
  <si>
    <t>Task 5</t>
  </si>
  <si>
    <t>Ladd</t>
  </si>
  <si>
    <t>Task 6</t>
  </si>
  <si>
    <t>Task 7</t>
  </si>
  <si>
    <t>Task 8</t>
  </si>
  <si>
    <t>Task 9</t>
  </si>
  <si>
    <t>Task 10</t>
  </si>
  <si>
    <t>Orion</t>
  </si>
  <si>
    <t>Vega</t>
  </si>
  <si>
    <t>Delta</t>
  </si>
  <si>
    <t>Alpha</t>
  </si>
  <si>
    <t>Project</t>
  </si>
  <si>
    <t>Manager</t>
  </si>
  <si>
    <t>Start Date</t>
  </si>
  <si>
    <t>Duration</t>
  </si>
  <si>
    <t>End Date</t>
  </si>
  <si>
    <t>Days completed</t>
  </si>
  <si>
    <t>Progress</t>
  </si>
  <si>
    <t>Budget</t>
  </si>
  <si>
    <t>Actual</t>
  </si>
  <si>
    <t>Row Labels</t>
  </si>
  <si>
    <t>Grand Total</t>
  </si>
  <si>
    <t>Sum of Budget</t>
  </si>
  <si>
    <t>Sum of Actual</t>
  </si>
  <si>
    <t>Total Projects</t>
  </si>
  <si>
    <t>Total Budget</t>
  </si>
  <si>
    <t>Total Actual Cost</t>
  </si>
  <si>
    <t>Budget Variance</t>
  </si>
  <si>
    <t>Average Progress</t>
  </si>
  <si>
    <t>Task NO.</t>
  </si>
  <si>
    <t xml:space="preserve">Average Duration </t>
  </si>
  <si>
    <t>completed tasks</t>
  </si>
  <si>
    <t>Average of Progress</t>
  </si>
  <si>
    <t>Project Summary</t>
  </si>
  <si>
    <t>Manager Performance</t>
  </si>
  <si>
    <t>Feb</t>
  </si>
  <si>
    <t>Mar</t>
  </si>
  <si>
    <t>Count of Task NO.</t>
  </si>
  <si>
    <t>Monthly Projects</t>
  </si>
  <si>
    <t>Budget Analysis</t>
  </si>
  <si>
    <t>Task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</si>
</sst>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 &quot;₹&quot;\ * #,##0.00_ ;_ &quot;₹&quot;\ * \-#,##0.00_ ;_ &quot;₹&quot;\ * &quot;-&quot;??_ ;_ @_ "/>
    <numFmt numFmtId="164" formatCode="[$-F800]dddd\,\ mmmm\ dd\,\ yyyy"/>
    <numFmt numFmtId="165" formatCode="_-[$$-409]* #,##0_ ;_-[$$-409]* \-#,##0\ ;_-[$$-409]* &quot;-&quot;??_ ;_-@_ "/>
    <numFmt numFmtId="173" formatCode="&quot;₹&quot;\ #,##0"/>
  </numFmts>
  <fonts count="3" x14ac:knownFonts="1">
    <font>
      <sz val="11"/>
      <color theme="1"/>
      <name val="Rockwell"/>
      <family val="2"/>
      <scheme val="minor"/>
    </font>
    <font>
      <sz val="11"/>
      <color theme="1"/>
      <name val="Rockwell"/>
      <family val="2"/>
      <scheme val="minor"/>
    </font>
    <font>
      <sz val="18"/>
      <color theme="1"/>
      <name val="Rockwell"/>
      <family val="2"/>
      <scheme val="minor"/>
    </font>
  </fonts>
  <fills count="3">
    <fill>
      <patternFill patternType="none"/>
    </fill>
    <fill>
      <patternFill patternType="gray125"/>
    </fill>
    <fill>
      <patternFill patternType="solid">
        <fgColor theme="0" tint="-0.14999847407452621"/>
        <bgColor theme="0" tint="-0.14999847407452621"/>
      </patternFill>
    </fill>
  </fills>
  <borders count="7">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5">
    <xf numFmtId="0" fontId="0" fillId="0" borderId="0" xfId="0"/>
    <xf numFmtId="0" fontId="0" fillId="2" borderId="1" xfId="0" applyFont="1" applyFill="1" applyBorder="1"/>
    <xf numFmtId="0" fontId="0" fillId="2" borderId="2" xfId="0" applyFont="1" applyFill="1" applyBorder="1"/>
    <xf numFmtId="14" fontId="0" fillId="2" borderId="2" xfId="0" applyNumberFormat="1" applyFont="1" applyFill="1" applyBorder="1"/>
    <xf numFmtId="3" fontId="0" fillId="2" borderId="2" xfId="0" applyNumberFormat="1" applyFont="1" applyFill="1" applyBorder="1"/>
    <xf numFmtId="0" fontId="0" fillId="0" borderId="1" xfId="0" applyFont="1" applyBorder="1"/>
    <xf numFmtId="0" fontId="0" fillId="0" borderId="2" xfId="0" applyFont="1" applyBorder="1"/>
    <xf numFmtId="14" fontId="0" fillId="0" borderId="2" xfId="0" applyNumberFormat="1" applyFont="1" applyBorder="1"/>
    <xf numFmtId="3" fontId="0" fillId="0" borderId="2" xfId="0" applyNumberFormat="1" applyFont="1" applyBorder="1"/>
    <xf numFmtId="164" fontId="0" fillId="0" borderId="0" xfId="0" applyNumberFormat="1"/>
    <xf numFmtId="14" fontId="0" fillId="0" borderId="0" xfId="0" applyNumberFormat="1"/>
    <xf numFmtId="3" fontId="0" fillId="0" borderId="0" xfId="0" applyNumberFormat="1"/>
    <xf numFmtId="0" fontId="0" fillId="0" borderId="4" xfId="0" applyFont="1" applyBorder="1"/>
    <xf numFmtId="0" fontId="0" fillId="0" borderId="5" xfId="0" applyFont="1" applyBorder="1"/>
    <xf numFmtId="14" fontId="0" fillId="0" borderId="5" xfId="0" applyNumberFormat="1" applyFont="1" applyBorder="1"/>
    <xf numFmtId="3" fontId="0" fillId="0" borderId="5" xfId="0" applyNumberFormat="1" applyFont="1" applyBorder="1"/>
    <xf numFmtId="0" fontId="0" fillId="0" borderId="0" xfId="0" pivotButton="1"/>
    <xf numFmtId="0" fontId="0" fillId="0" borderId="0" xfId="0" applyAlignment="1">
      <alignment horizontal="left"/>
    </xf>
    <xf numFmtId="0" fontId="0" fillId="0" borderId="0" xfId="0" applyNumberFormat="1"/>
    <xf numFmtId="165" fontId="0" fillId="0" borderId="0" xfId="1" applyNumberFormat="1" applyFont="1"/>
    <xf numFmtId="165" fontId="0" fillId="2" borderId="2" xfId="1" applyNumberFormat="1" applyFont="1" applyFill="1" applyBorder="1"/>
    <xf numFmtId="165" fontId="0" fillId="0" borderId="2" xfId="1" applyNumberFormat="1" applyFont="1" applyBorder="1"/>
    <xf numFmtId="165" fontId="0" fillId="0" borderId="5" xfId="1" applyNumberFormat="1" applyFont="1" applyBorder="1"/>
    <xf numFmtId="9" fontId="0" fillId="0" borderId="0" xfId="2" applyFont="1"/>
    <xf numFmtId="9" fontId="0" fillId="2" borderId="2" xfId="2" applyFont="1" applyFill="1" applyBorder="1"/>
    <xf numFmtId="9" fontId="0" fillId="0" borderId="2" xfId="2" applyFont="1" applyBorder="1"/>
    <xf numFmtId="9" fontId="0" fillId="0" borderId="5" xfId="2" applyFont="1" applyBorder="1"/>
    <xf numFmtId="1" fontId="0" fillId="0" borderId="0" xfId="0" applyNumberFormat="1"/>
    <xf numFmtId="1" fontId="0" fillId="2" borderId="2" xfId="0" applyNumberFormat="1" applyFont="1" applyFill="1" applyBorder="1"/>
    <xf numFmtId="1" fontId="0" fillId="0" borderId="2" xfId="0" applyNumberFormat="1" applyFont="1" applyBorder="1"/>
    <xf numFmtId="1" fontId="0" fillId="0" borderId="5" xfId="0" applyNumberFormat="1" applyFont="1" applyBorder="1"/>
    <xf numFmtId="165" fontId="0" fillId="0" borderId="0" xfId="0" applyNumberFormat="1"/>
    <xf numFmtId="165" fontId="0" fillId="2" borderId="3" xfId="0" applyNumberFormat="1" applyFont="1" applyFill="1" applyBorder="1"/>
    <xf numFmtId="165" fontId="0" fillId="0" borderId="3" xfId="0" applyNumberFormat="1" applyFont="1" applyBorder="1"/>
    <xf numFmtId="165" fontId="0" fillId="0" borderId="6" xfId="0" applyNumberFormat="1" applyFont="1" applyBorder="1"/>
    <xf numFmtId="2" fontId="0" fillId="0" borderId="0" xfId="0" applyNumberFormat="1"/>
    <xf numFmtId="2" fontId="0" fillId="2" borderId="2" xfId="0" applyNumberFormat="1" applyFont="1" applyFill="1" applyBorder="1"/>
    <xf numFmtId="2" fontId="0" fillId="0" borderId="2" xfId="0" applyNumberFormat="1" applyFont="1" applyBorder="1"/>
    <xf numFmtId="2" fontId="0" fillId="0" borderId="5" xfId="0" applyNumberFormat="1" applyFont="1" applyBorder="1"/>
    <xf numFmtId="10" fontId="0" fillId="0" borderId="0" xfId="0" applyNumberFormat="1"/>
    <xf numFmtId="0" fontId="2" fillId="0" borderId="0" xfId="0" applyFont="1" applyAlignment="1">
      <alignment horizontal="center"/>
    </xf>
    <xf numFmtId="9" fontId="0" fillId="0" borderId="0" xfId="0" applyNumberFormat="1" applyAlignment="1">
      <alignment horizontal="left"/>
    </xf>
    <xf numFmtId="173" fontId="0" fillId="0" borderId="0" xfId="0" applyNumberFormat="1"/>
    <xf numFmtId="2" fontId="0" fillId="0" borderId="0" xfId="0" pivotButton="1" applyNumberFormat="1"/>
    <xf numFmtId="2" fontId="0" fillId="0" borderId="0" xfId="0" applyNumberFormat="1" applyAlignment="1">
      <alignment horizontal="left"/>
    </xf>
  </cellXfs>
  <cellStyles count="3">
    <cellStyle name="Currency" xfId="1" builtinId="4"/>
    <cellStyle name="Normal" xfId="0" builtinId="0"/>
    <cellStyle name="Percent" xfId="2" builtinId="5"/>
  </cellStyles>
  <dxfs count="168">
    <dxf>
      <numFmt numFmtId="171" formatCode="&quot;₹&quot;\ #,##0.00"/>
    </dxf>
    <dxf>
      <numFmt numFmtId="172" formatCode="&quot;₹&quot;\ #,##0.0"/>
    </dxf>
    <dxf>
      <numFmt numFmtId="173" formatCode="&quot;₹&quot;\ #,##0"/>
    </dxf>
    <dxf>
      <numFmt numFmtId="2" formatCode="0.00"/>
    </dxf>
    <dxf>
      <numFmt numFmtId="2" formatCode="0.00"/>
    </dxf>
    <dxf>
      <numFmt numFmtId="2" formatCode="0.00"/>
    </dxf>
    <dxf>
      <numFmt numFmtId="2" formatCode="0.00"/>
    </dxf>
    <dxf>
      <numFmt numFmtId="174" formatCode="0.0"/>
    </dxf>
    <dxf>
      <numFmt numFmtId="174" formatCode="0.0"/>
    </dxf>
    <dxf>
      <numFmt numFmtId="174" formatCode="0.0"/>
    </dxf>
    <dxf>
      <numFmt numFmtId="174" formatCode="0.0"/>
    </dxf>
    <dxf>
      <numFmt numFmtId="1" formatCode="0"/>
    </dxf>
    <dxf>
      <numFmt numFmtId="1" formatCode="0"/>
    </dxf>
    <dxf>
      <numFmt numFmtId="1" formatCode="0"/>
    </dxf>
    <dxf>
      <numFmt numFmtId="1" formatCode="0"/>
    </dxf>
    <dxf>
      <numFmt numFmtId="174" formatCode="0.0"/>
    </dxf>
    <dxf>
      <numFmt numFmtId="174" formatCode="0.0"/>
    </dxf>
    <dxf>
      <numFmt numFmtId="174" formatCode="0.0"/>
    </dxf>
    <dxf>
      <numFmt numFmtId="174" formatCode="0.0"/>
    </dxf>
    <dxf>
      <numFmt numFmtId="2" formatCode="0.00"/>
    </dxf>
    <dxf>
      <numFmt numFmtId="2" formatCode="0.00"/>
    </dxf>
    <dxf>
      <numFmt numFmtId="2" formatCode="0.00"/>
    </dxf>
    <dxf>
      <numFmt numFmtId="2" formatCode="0.00"/>
    </dxf>
    <dxf>
      <numFmt numFmtId="171" formatCode="&quot;₹&quot;\ #,##0.00"/>
    </dxf>
    <dxf>
      <numFmt numFmtId="172" formatCode="&quot;₹&quot;\ #,##0.0"/>
    </dxf>
    <dxf>
      <numFmt numFmtId="173" formatCode="&quot;₹&quot;\ #,##0"/>
    </dxf>
    <dxf>
      <numFmt numFmtId="171" formatCode="&quot;₹&quot;\ #,##0.00"/>
    </dxf>
    <dxf>
      <numFmt numFmtId="172" formatCode="&quot;₹&quot;\ #,##0.0"/>
    </dxf>
    <dxf>
      <numFmt numFmtId="173" formatCode="&quot;₹&quot;\ #,##0"/>
    </dxf>
    <dxf>
      <numFmt numFmtId="2" formatCode="0.00"/>
    </dxf>
    <dxf>
      <numFmt numFmtId="2" formatCode="0.00"/>
    </dxf>
    <dxf>
      <numFmt numFmtId="2" formatCode="0.00"/>
    </dxf>
    <dxf>
      <numFmt numFmtId="2" formatCode="0.00"/>
    </dxf>
    <dxf>
      <numFmt numFmtId="174" formatCode="0.0"/>
    </dxf>
    <dxf>
      <numFmt numFmtId="174" formatCode="0.0"/>
    </dxf>
    <dxf>
      <numFmt numFmtId="174" formatCode="0.0"/>
    </dxf>
    <dxf>
      <numFmt numFmtId="174" formatCode="0.0"/>
    </dxf>
    <dxf>
      <numFmt numFmtId="1" formatCode="0"/>
    </dxf>
    <dxf>
      <numFmt numFmtId="1" formatCode="0"/>
    </dxf>
    <dxf>
      <numFmt numFmtId="1" formatCode="0"/>
    </dxf>
    <dxf>
      <numFmt numFmtId="1" formatCode="0"/>
    </dxf>
    <dxf>
      <numFmt numFmtId="174" formatCode="0.0"/>
    </dxf>
    <dxf>
      <numFmt numFmtId="174" formatCode="0.0"/>
    </dxf>
    <dxf>
      <numFmt numFmtId="174" formatCode="0.0"/>
    </dxf>
    <dxf>
      <numFmt numFmtId="174" formatCode="0.0"/>
    </dxf>
    <dxf>
      <numFmt numFmtId="2" formatCode="0.00"/>
    </dxf>
    <dxf>
      <numFmt numFmtId="2" formatCode="0.00"/>
    </dxf>
    <dxf>
      <numFmt numFmtId="2" formatCode="0.00"/>
    </dxf>
    <dxf>
      <numFmt numFmtId="2" formatCode="0.00"/>
    </dxf>
    <dxf>
      <numFmt numFmtId="171" formatCode="&quot;₹&quot;\ #,##0.00"/>
    </dxf>
    <dxf>
      <numFmt numFmtId="172" formatCode="&quot;₹&quot;\ #,##0.0"/>
    </dxf>
    <dxf>
      <numFmt numFmtId="173" formatCode="&quot;₹&quot;\ #,##0"/>
    </dxf>
    <dxf>
      <numFmt numFmtId="171" formatCode="&quot;₹&quot;\ #,##0.00"/>
    </dxf>
    <dxf>
      <numFmt numFmtId="172" formatCode="&quot;₹&quot;\ #,##0.0"/>
    </dxf>
    <dxf>
      <numFmt numFmtId="173" formatCode="&quot;₹&quot;\ #,##0"/>
    </dxf>
    <dxf>
      <numFmt numFmtId="2" formatCode="0.00"/>
    </dxf>
    <dxf>
      <numFmt numFmtId="2" formatCode="0.00"/>
    </dxf>
    <dxf>
      <numFmt numFmtId="2" formatCode="0.00"/>
    </dxf>
    <dxf>
      <numFmt numFmtId="2" formatCode="0.00"/>
    </dxf>
    <dxf>
      <numFmt numFmtId="174" formatCode="0.0"/>
    </dxf>
    <dxf>
      <numFmt numFmtId="174" formatCode="0.0"/>
    </dxf>
    <dxf>
      <numFmt numFmtId="174" formatCode="0.0"/>
    </dxf>
    <dxf>
      <numFmt numFmtId="174" formatCode="0.0"/>
    </dxf>
    <dxf>
      <numFmt numFmtId="1" formatCode="0"/>
    </dxf>
    <dxf>
      <numFmt numFmtId="1" formatCode="0"/>
    </dxf>
    <dxf>
      <numFmt numFmtId="1" formatCode="0"/>
    </dxf>
    <dxf>
      <numFmt numFmtId="1" formatCode="0"/>
    </dxf>
    <dxf>
      <numFmt numFmtId="174" formatCode="0.0"/>
    </dxf>
    <dxf>
      <numFmt numFmtId="174" formatCode="0.0"/>
    </dxf>
    <dxf>
      <numFmt numFmtId="174" formatCode="0.0"/>
    </dxf>
    <dxf>
      <numFmt numFmtId="174" formatCode="0.0"/>
    </dxf>
    <dxf>
      <numFmt numFmtId="2" formatCode="0.00"/>
    </dxf>
    <dxf>
      <numFmt numFmtId="2" formatCode="0.00"/>
    </dxf>
    <dxf>
      <numFmt numFmtId="2" formatCode="0.00"/>
    </dxf>
    <dxf>
      <numFmt numFmtId="2" formatCode="0.00"/>
    </dxf>
    <dxf>
      <numFmt numFmtId="171" formatCode="&quot;₹&quot;\ #,##0.00"/>
    </dxf>
    <dxf>
      <numFmt numFmtId="172" formatCode="&quot;₹&quot;\ #,##0.0"/>
    </dxf>
    <dxf>
      <numFmt numFmtId="173" formatCode="&quot;₹&quot;\ #,##0"/>
    </dxf>
    <dxf>
      <numFmt numFmtId="171" formatCode="&quot;₹&quot;\ #,##0.00"/>
    </dxf>
    <dxf>
      <numFmt numFmtId="172" formatCode="&quot;₹&quot;\ #,##0.0"/>
    </dxf>
    <dxf>
      <numFmt numFmtId="173" formatCode="&quot;₹&quot;\ #,##0"/>
    </dxf>
    <dxf>
      <numFmt numFmtId="2" formatCode="0.00"/>
    </dxf>
    <dxf>
      <numFmt numFmtId="2" formatCode="0.00"/>
    </dxf>
    <dxf>
      <numFmt numFmtId="2" formatCode="0.00"/>
    </dxf>
    <dxf>
      <numFmt numFmtId="2" formatCode="0.00"/>
    </dxf>
    <dxf>
      <numFmt numFmtId="174" formatCode="0.0"/>
    </dxf>
    <dxf>
      <numFmt numFmtId="174" formatCode="0.0"/>
    </dxf>
    <dxf>
      <numFmt numFmtId="174" formatCode="0.0"/>
    </dxf>
    <dxf>
      <numFmt numFmtId="174" formatCode="0.0"/>
    </dxf>
    <dxf>
      <numFmt numFmtId="1" formatCode="0"/>
    </dxf>
    <dxf>
      <numFmt numFmtId="1" formatCode="0"/>
    </dxf>
    <dxf>
      <numFmt numFmtId="1" formatCode="0"/>
    </dxf>
    <dxf>
      <numFmt numFmtId="1" formatCode="0"/>
    </dxf>
    <dxf>
      <numFmt numFmtId="174" formatCode="0.0"/>
    </dxf>
    <dxf>
      <numFmt numFmtId="174" formatCode="0.0"/>
    </dxf>
    <dxf>
      <numFmt numFmtId="174" formatCode="0.0"/>
    </dxf>
    <dxf>
      <numFmt numFmtId="174" formatCode="0.0"/>
    </dxf>
    <dxf>
      <numFmt numFmtId="2" formatCode="0.00"/>
    </dxf>
    <dxf>
      <numFmt numFmtId="2" formatCode="0.00"/>
    </dxf>
    <dxf>
      <numFmt numFmtId="2" formatCode="0.00"/>
    </dxf>
    <dxf>
      <numFmt numFmtId="2" formatCode="0.00"/>
    </dxf>
    <dxf>
      <numFmt numFmtId="171" formatCode="&quot;₹&quot;\ #,##0.00"/>
    </dxf>
    <dxf>
      <numFmt numFmtId="172" formatCode="&quot;₹&quot;\ #,##0.0"/>
    </dxf>
    <dxf>
      <numFmt numFmtId="173" formatCode="&quot;₹&quot;\ #,##0"/>
    </dxf>
    <dxf>
      <numFmt numFmtId="171" formatCode="&quot;₹&quot;\ #,##0.00"/>
    </dxf>
    <dxf>
      <numFmt numFmtId="172" formatCode="&quot;₹&quot;\ #,##0.0"/>
    </dxf>
    <dxf>
      <numFmt numFmtId="173" formatCode="&quot;₹&quot;\ #,##0"/>
    </dxf>
    <dxf>
      <numFmt numFmtId="2" formatCode="0.00"/>
    </dxf>
    <dxf>
      <numFmt numFmtId="2" formatCode="0.00"/>
    </dxf>
    <dxf>
      <numFmt numFmtId="2" formatCode="0.00"/>
    </dxf>
    <dxf>
      <numFmt numFmtId="2" formatCode="0.00"/>
    </dxf>
    <dxf>
      <numFmt numFmtId="174" formatCode="0.0"/>
    </dxf>
    <dxf>
      <numFmt numFmtId="174" formatCode="0.0"/>
    </dxf>
    <dxf>
      <numFmt numFmtId="174" formatCode="0.0"/>
    </dxf>
    <dxf>
      <numFmt numFmtId="174" formatCode="0.0"/>
    </dxf>
    <dxf>
      <numFmt numFmtId="1" formatCode="0"/>
    </dxf>
    <dxf>
      <numFmt numFmtId="1" formatCode="0"/>
    </dxf>
    <dxf>
      <numFmt numFmtId="1" formatCode="0"/>
    </dxf>
    <dxf>
      <numFmt numFmtId="1" formatCode="0"/>
    </dxf>
    <dxf>
      <numFmt numFmtId="174" formatCode="0.0"/>
    </dxf>
    <dxf>
      <numFmt numFmtId="174" formatCode="0.0"/>
    </dxf>
    <dxf>
      <numFmt numFmtId="174" formatCode="0.0"/>
    </dxf>
    <dxf>
      <numFmt numFmtId="174" formatCode="0.0"/>
    </dxf>
    <dxf>
      <numFmt numFmtId="2" formatCode="0.00"/>
    </dxf>
    <dxf>
      <numFmt numFmtId="2" formatCode="0.00"/>
    </dxf>
    <dxf>
      <numFmt numFmtId="2" formatCode="0.00"/>
    </dxf>
    <dxf>
      <numFmt numFmtId="2" formatCode="0.00"/>
    </dxf>
    <dxf>
      <numFmt numFmtId="171" formatCode="&quot;₹&quot;\ #,##0.00"/>
    </dxf>
    <dxf>
      <numFmt numFmtId="172" formatCode="&quot;₹&quot;\ #,##0.0"/>
    </dxf>
    <dxf>
      <numFmt numFmtId="173" formatCode="&quot;₹&quot;\ #,##0"/>
    </dxf>
    <dxf>
      <numFmt numFmtId="171" formatCode="&quot;₹&quot;\ #,##0.00"/>
    </dxf>
    <dxf>
      <numFmt numFmtId="172" formatCode="&quot;₹&quot;\ #,##0.0"/>
    </dxf>
    <dxf>
      <numFmt numFmtId="173" formatCode="&quot;₹&quot;\ #,##0"/>
    </dxf>
    <dxf>
      <numFmt numFmtId="2" formatCode="0.00"/>
    </dxf>
    <dxf>
      <numFmt numFmtId="2" formatCode="0.00"/>
    </dxf>
    <dxf>
      <numFmt numFmtId="2" formatCode="0.00"/>
    </dxf>
    <dxf>
      <numFmt numFmtId="2" formatCode="0.00"/>
    </dxf>
    <dxf>
      <numFmt numFmtId="174" formatCode="0.0"/>
    </dxf>
    <dxf>
      <numFmt numFmtId="174" formatCode="0.0"/>
    </dxf>
    <dxf>
      <numFmt numFmtId="174" formatCode="0.0"/>
    </dxf>
    <dxf>
      <numFmt numFmtId="174" formatCode="0.0"/>
    </dxf>
    <dxf>
      <numFmt numFmtId="1" formatCode="0"/>
    </dxf>
    <dxf>
      <numFmt numFmtId="1" formatCode="0"/>
    </dxf>
    <dxf>
      <numFmt numFmtId="1" formatCode="0"/>
    </dxf>
    <dxf>
      <numFmt numFmtId="1" formatCode="0"/>
    </dxf>
    <dxf>
      <numFmt numFmtId="174" formatCode="0.0"/>
    </dxf>
    <dxf>
      <numFmt numFmtId="174" formatCode="0.0"/>
    </dxf>
    <dxf>
      <numFmt numFmtId="174" formatCode="0.0"/>
    </dxf>
    <dxf>
      <numFmt numFmtId="174" formatCode="0.0"/>
    </dxf>
    <dxf>
      <numFmt numFmtId="2" formatCode="0.00"/>
    </dxf>
    <dxf>
      <numFmt numFmtId="2" formatCode="0.00"/>
    </dxf>
    <dxf>
      <numFmt numFmtId="2" formatCode="0.00"/>
    </dxf>
    <dxf>
      <numFmt numFmtId="2" formatCode="0.00"/>
    </dxf>
    <dxf>
      <numFmt numFmtId="171" formatCode="&quot;₹&quot;\ #,##0.00"/>
    </dxf>
    <dxf>
      <numFmt numFmtId="172" formatCode="&quot;₹&quot;\ #,##0.0"/>
    </dxf>
    <dxf>
      <numFmt numFmtId="173" formatCode="&quot;₹&quot;\ #,##0"/>
    </dxf>
    <dxf>
      <font>
        <b val="0"/>
        <i val="0"/>
        <strike val="0"/>
        <condense val="0"/>
        <extend val="0"/>
        <outline val="0"/>
        <shadow val="0"/>
        <u val="none"/>
        <vertAlign val="baseline"/>
        <sz val="11"/>
        <color theme="1"/>
        <name val="Rockwell"/>
        <scheme val="minor"/>
      </font>
      <numFmt numFmtId="2" formatCode="0.00"/>
      <border diagonalUp="0" diagonalDown="0" outline="0">
        <left/>
        <right/>
        <top style="thin">
          <color theme="1"/>
        </top>
        <bottom style="thin">
          <color theme="1"/>
        </bottom>
      </border>
    </dxf>
    <dxf>
      <font>
        <b val="0"/>
        <i val="0"/>
        <strike val="0"/>
        <condense val="0"/>
        <extend val="0"/>
        <outline val="0"/>
        <shadow val="0"/>
        <u val="none"/>
        <vertAlign val="baseline"/>
        <sz val="11"/>
        <color theme="1"/>
        <name val="Rockwell"/>
        <scheme val="minor"/>
      </font>
      <border diagonalUp="0" diagonalDown="0" outline="0">
        <left/>
        <right/>
        <top style="thin">
          <color theme="1"/>
        </top>
        <bottom style="thin">
          <color theme="1"/>
        </bottom>
      </border>
    </dxf>
    <dxf>
      <font>
        <b val="0"/>
        <i val="0"/>
        <strike val="0"/>
        <condense val="0"/>
        <extend val="0"/>
        <outline val="0"/>
        <shadow val="0"/>
        <u val="none"/>
        <vertAlign val="baseline"/>
        <sz val="11"/>
        <color theme="1"/>
        <name val="Rockwell"/>
        <scheme val="minor"/>
      </font>
      <border diagonalUp="0" diagonalDown="0" outline="0">
        <left style="thin">
          <color theme="1"/>
        </left>
        <right/>
        <top style="thin">
          <color theme="1"/>
        </top>
        <bottom style="thin">
          <color theme="1"/>
        </bottom>
      </border>
    </dxf>
    <dxf>
      <font>
        <b val="0"/>
        <i val="0"/>
        <strike val="0"/>
        <condense val="0"/>
        <extend val="0"/>
        <outline val="0"/>
        <shadow val="0"/>
        <u val="none"/>
        <vertAlign val="baseline"/>
        <sz val="11"/>
        <color theme="1"/>
        <name val="Rockwell"/>
        <scheme val="minor"/>
      </font>
      <numFmt numFmtId="165" formatCode="_-[$$-409]* #,##0_ ;_-[$$-409]* \-#,##0\ ;_-[$$-409]* &quot;-&quot;??_ ;_-@_ "/>
      <border diagonalUp="0" diagonalDown="0" outline="0">
        <left/>
        <right style="thin">
          <color theme="1"/>
        </right>
        <top style="thin">
          <color theme="1"/>
        </top>
        <bottom style="thin">
          <color theme="1"/>
        </bottom>
      </border>
    </dxf>
    <dxf>
      <font>
        <b val="0"/>
        <i val="0"/>
        <strike val="0"/>
        <condense val="0"/>
        <extend val="0"/>
        <outline val="0"/>
        <shadow val="0"/>
        <u val="none"/>
        <vertAlign val="baseline"/>
        <sz val="11"/>
        <color theme="1"/>
        <name val="Rockwell"/>
        <scheme val="minor"/>
      </font>
      <numFmt numFmtId="165" formatCode="_-[$$-409]* #,##0_ ;_-[$$-409]* \-#,##0\ ;_-[$$-409]* &quot;-&quot;??_ ;_-@_ "/>
      <border diagonalUp="0" diagonalDown="0" outline="0">
        <left/>
        <right/>
        <top style="thin">
          <color theme="1"/>
        </top>
        <bottom style="thin">
          <color theme="1"/>
        </bottom>
      </border>
    </dxf>
    <dxf>
      <font>
        <b val="0"/>
        <i val="0"/>
        <strike val="0"/>
        <condense val="0"/>
        <extend val="0"/>
        <outline val="0"/>
        <shadow val="0"/>
        <u val="none"/>
        <vertAlign val="baseline"/>
        <sz val="11"/>
        <color theme="1"/>
        <name val="Rockwell"/>
        <scheme val="minor"/>
      </font>
      <border diagonalUp="0" diagonalDown="0" outline="0">
        <left/>
        <right/>
        <top style="thin">
          <color theme="1"/>
        </top>
        <bottom style="thin">
          <color theme="1"/>
        </bottom>
      </border>
    </dxf>
    <dxf>
      <font>
        <b val="0"/>
        <i val="0"/>
        <strike val="0"/>
        <condense val="0"/>
        <extend val="0"/>
        <outline val="0"/>
        <shadow val="0"/>
        <u val="none"/>
        <vertAlign val="baseline"/>
        <sz val="11"/>
        <color theme="1"/>
        <name val="Rockwell"/>
        <scheme val="minor"/>
      </font>
      <numFmt numFmtId="3" formatCode="#,##0"/>
      <border diagonalUp="0" diagonalDown="0" outline="0">
        <left/>
        <right/>
        <top style="thin">
          <color theme="1"/>
        </top>
        <bottom style="thin">
          <color theme="1"/>
        </bottom>
      </border>
    </dxf>
    <dxf>
      <font>
        <b val="0"/>
        <i val="0"/>
        <strike val="0"/>
        <condense val="0"/>
        <extend val="0"/>
        <outline val="0"/>
        <shadow val="0"/>
        <u val="none"/>
        <vertAlign val="baseline"/>
        <sz val="11"/>
        <color theme="1"/>
        <name val="Rockwell"/>
        <scheme val="minor"/>
      </font>
      <numFmt numFmtId="19" formatCode="dd/mm/yyyy"/>
      <border diagonalUp="0" diagonalDown="0" outline="0">
        <left/>
        <right/>
        <top style="thin">
          <color theme="1"/>
        </top>
        <bottom style="thin">
          <color theme="1"/>
        </bottom>
      </border>
    </dxf>
    <dxf>
      <font>
        <b val="0"/>
        <i val="0"/>
        <strike val="0"/>
        <condense val="0"/>
        <extend val="0"/>
        <outline val="0"/>
        <shadow val="0"/>
        <u val="none"/>
        <vertAlign val="baseline"/>
        <sz val="11"/>
        <color theme="1"/>
        <name val="Rockwell"/>
        <scheme val="minor"/>
      </font>
      <numFmt numFmtId="1" formatCode="0"/>
      <border diagonalUp="0" diagonalDown="0" outline="0">
        <left/>
        <right/>
        <top style="thin">
          <color theme="1"/>
        </top>
        <bottom style="thin">
          <color theme="1"/>
        </bottom>
      </border>
    </dxf>
    <dxf>
      <font>
        <b val="0"/>
        <i val="0"/>
        <strike val="0"/>
        <condense val="0"/>
        <extend val="0"/>
        <outline val="0"/>
        <shadow val="0"/>
        <u val="none"/>
        <vertAlign val="baseline"/>
        <sz val="11"/>
        <color theme="1"/>
        <name val="Rockwell"/>
        <scheme val="minor"/>
      </font>
      <numFmt numFmtId="19" formatCode="dd/mm/yyyy"/>
      <border diagonalUp="0" diagonalDown="0" outline="0">
        <left/>
        <right/>
        <top style="thin">
          <color theme="1"/>
        </top>
        <bottom style="thin">
          <color theme="1"/>
        </bottom>
      </border>
    </dxf>
    <dxf>
      <border outline="0">
        <bottom style="thin">
          <color theme="1"/>
        </bottom>
      </border>
    </dxf>
    <dxf>
      <font>
        <b val="0"/>
        <i val="0"/>
        <strike val="0"/>
        <condense val="0"/>
        <extend val="0"/>
        <outline val="0"/>
        <shadow val="0"/>
        <u val="none"/>
        <vertAlign val="baseline"/>
        <sz val="11"/>
        <color theme="1"/>
        <name val="Rockwell"/>
        <scheme val="minor"/>
      </font>
    </dxf>
  </dxfs>
  <tableStyles count="0" defaultTableStyle="TableStyleMedium2" defaultPivotStyle="PivotStyleLight16"/>
  <colors>
    <mruColors>
      <color rgb="FFCC6600"/>
      <color rgb="FFCC66FF"/>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project dashboard.xlsx]Pivot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VS Actual Amount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66FF"/>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99336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2692475940507432E-2"/>
          <c:y val="0.17171296296296296"/>
          <c:w val="0.65455249343832023"/>
          <c:h val="0.72088764946048411"/>
        </c:manualLayout>
      </c:layout>
      <c:barChart>
        <c:barDir val="bar"/>
        <c:grouping val="clustered"/>
        <c:varyColors val="0"/>
        <c:ser>
          <c:idx val="0"/>
          <c:order val="0"/>
          <c:tx>
            <c:strRef>
              <c:f>'Pivot Table'!$K$3</c:f>
              <c:strCache>
                <c:ptCount val="1"/>
                <c:pt idx="0">
                  <c:v>Sum of Budget</c:v>
                </c:pt>
              </c:strCache>
            </c:strRef>
          </c:tx>
          <c:spPr>
            <a:solidFill>
              <a:srgbClr val="CC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Table'!$K$4</c:f>
              <c:strCache>
                <c:ptCount val="1"/>
                <c:pt idx="0">
                  <c:v>Total</c:v>
                </c:pt>
              </c:strCache>
            </c:strRef>
          </c:cat>
          <c:val>
            <c:numRef>
              <c:f>'Pivot Table'!$K$4</c:f>
              <c:numCache>
                <c:formatCode>"₹"\ #,##0</c:formatCode>
                <c:ptCount val="1"/>
                <c:pt idx="0">
                  <c:v>19695000</c:v>
                </c:pt>
              </c:numCache>
            </c:numRef>
          </c:val>
          <c:extLst>
            <c:ext xmlns:c16="http://schemas.microsoft.com/office/drawing/2014/chart" uri="{C3380CC4-5D6E-409C-BE32-E72D297353CC}">
              <c16:uniqueId val="{00000000-8DF1-4FBA-B749-D9A3B1AD1045}"/>
            </c:ext>
          </c:extLst>
        </c:ser>
        <c:ser>
          <c:idx val="1"/>
          <c:order val="1"/>
          <c:tx>
            <c:strRef>
              <c:f>'Pivot Table'!$L$3</c:f>
              <c:strCache>
                <c:ptCount val="1"/>
                <c:pt idx="0">
                  <c:v>Sum of Actual</c:v>
                </c:pt>
              </c:strCache>
            </c:strRef>
          </c:tx>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Table'!$K$4</c:f>
              <c:strCache>
                <c:ptCount val="1"/>
                <c:pt idx="0">
                  <c:v>Total</c:v>
                </c:pt>
              </c:strCache>
            </c:strRef>
          </c:cat>
          <c:val>
            <c:numRef>
              <c:f>'Pivot Table'!$L$4</c:f>
              <c:numCache>
                <c:formatCode>"₹"\ #,##0</c:formatCode>
                <c:ptCount val="1"/>
                <c:pt idx="0">
                  <c:v>8340291</c:v>
                </c:pt>
              </c:numCache>
            </c:numRef>
          </c:val>
          <c:extLst>
            <c:ext xmlns:c16="http://schemas.microsoft.com/office/drawing/2014/chart" uri="{C3380CC4-5D6E-409C-BE32-E72D297353CC}">
              <c16:uniqueId val="{00000001-8DF1-4FBA-B749-D9A3B1AD1045}"/>
            </c:ext>
          </c:extLst>
        </c:ser>
        <c:dLbls>
          <c:dLblPos val="outEnd"/>
          <c:showLegendKey val="0"/>
          <c:showVal val="1"/>
          <c:showCatName val="0"/>
          <c:showSerName val="0"/>
          <c:showPercent val="0"/>
          <c:showBubbleSize val="0"/>
        </c:dLbls>
        <c:gapWidth val="182"/>
        <c:axId val="279619632"/>
        <c:axId val="279620288"/>
      </c:barChart>
      <c:catAx>
        <c:axId val="279619632"/>
        <c:scaling>
          <c:orientation val="minMax"/>
        </c:scaling>
        <c:delete val="1"/>
        <c:axPos val="l"/>
        <c:numFmt formatCode="General" sourceLinked="1"/>
        <c:majorTickMark val="out"/>
        <c:minorTickMark val="none"/>
        <c:tickLblPos val="nextTo"/>
        <c:crossAx val="279620288"/>
        <c:crosses val="autoZero"/>
        <c:auto val="1"/>
        <c:lblAlgn val="ctr"/>
        <c:lblOffset val="100"/>
        <c:noMultiLvlLbl val="0"/>
      </c:catAx>
      <c:valAx>
        <c:axId val="279620288"/>
        <c:scaling>
          <c:orientation val="minMax"/>
        </c:scaling>
        <c:delete val="1"/>
        <c:axPos val="b"/>
        <c:numFmt formatCode="&quot;₹&quot;\ #,##0" sourceLinked="1"/>
        <c:majorTickMark val="out"/>
        <c:minorTickMark val="none"/>
        <c:tickLblPos val="nextTo"/>
        <c:crossAx val="279619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project dashboard.xlsx]Pivot Table!PivotTable7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Progress by Tasks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c:f>
              <c:strCache>
                <c:ptCount val="1"/>
                <c:pt idx="0">
                  <c:v>Total</c:v>
                </c:pt>
              </c:strCache>
            </c:strRef>
          </c:tx>
          <c:spPr>
            <a:ln w="28575" cap="rnd">
              <a:solidFill>
                <a:schemeClr val="accent1"/>
              </a:solidFill>
              <a:round/>
            </a:ln>
            <a:effectLst/>
          </c:spPr>
          <c:marker>
            <c:symbol val="none"/>
          </c:marker>
          <c:cat>
            <c:strRef>
              <c:f>'Pivot Table'!$A$28:$A$33</c:f>
              <c:strCache>
                <c:ptCount val="5"/>
                <c:pt idx="0">
                  <c:v>Alpha</c:v>
                </c:pt>
                <c:pt idx="1">
                  <c:v>Delta</c:v>
                </c:pt>
                <c:pt idx="2">
                  <c:v>Gemini</c:v>
                </c:pt>
                <c:pt idx="3">
                  <c:v>Orion</c:v>
                </c:pt>
                <c:pt idx="4">
                  <c:v>Vega</c:v>
                </c:pt>
              </c:strCache>
            </c:strRef>
          </c:cat>
          <c:val>
            <c:numRef>
              <c:f>'Pivot Table'!$B$28:$B$33</c:f>
              <c:numCache>
                <c:formatCode>0.00</c:formatCode>
                <c:ptCount val="5"/>
                <c:pt idx="0">
                  <c:v>0.41850198412698408</c:v>
                </c:pt>
                <c:pt idx="1">
                  <c:v>0.43055555555555552</c:v>
                </c:pt>
                <c:pt idx="2">
                  <c:v>0.33230158730158726</c:v>
                </c:pt>
                <c:pt idx="3">
                  <c:v>0.51349206349206356</c:v>
                </c:pt>
                <c:pt idx="4">
                  <c:v>0.53619047619047611</c:v>
                </c:pt>
              </c:numCache>
            </c:numRef>
          </c:val>
          <c:smooth val="0"/>
          <c:extLst>
            <c:ext xmlns:c16="http://schemas.microsoft.com/office/drawing/2014/chart" uri="{C3380CC4-5D6E-409C-BE32-E72D297353CC}">
              <c16:uniqueId val="{00000000-6500-4974-B751-34D94CD69D9F}"/>
            </c:ext>
          </c:extLst>
        </c:ser>
        <c:dLbls>
          <c:showLegendKey val="0"/>
          <c:showVal val="0"/>
          <c:showCatName val="0"/>
          <c:showSerName val="0"/>
          <c:showPercent val="0"/>
          <c:showBubbleSize val="0"/>
        </c:dLbls>
        <c:smooth val="0"/>
        <c:axId val="276701680"/>
        <c:axId val="276702664"/>
      </c:lineChart>
      <c:catAx>
        <c:axId val="27670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02664"/>
        <c:crosses val="autoZero"/>
        <c:auto val="1"/>
        <c:lblAlgn val="ctr"/>
        <c:lblOffset val="100"/>
        <c:noMultiLvlLbl val="0"/>
      </c:catAx>
      <c:valAx>
        <c:axId val="276702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01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project dashboard.xlsx]Pivot Table!PivotTable2</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2688670166229221"/>
          <c:y val="5.0925925925925923E-2"/>
          <c:w val="0.54323315835520558"/>
          <c:h val="0.8416746864975212"/>
        </c:manualLayout>
      </c:layout>
      <c:barChart>
        <c:barDir val="bar"/>
        <c:grouping val="clustered"/>
        <c:varyColors val="0"/>
        <c:ser>
          <c:idx val="0"/>
          <c:order val="0"/>
          <c:tx>
            <c:strRef>
              <c:f>'Pivot Table'!$G$3</c:f>
              <c:strCache>
                <c:ptCount val="1"/>
                <c:pt idx="0">
                  <c:v>Sum of Budget</c:v>
                </c:pt>
              </c:strCache>
            </c:strRef>
          </c:tx>
          <c:spPr>
            <a:solidFill>
              <a:schemeClr val="accent1"/>
            </a:solidFill>
            <a:ln>
              <a:noFill/>
            </a:ln>
            <a:effectLst/>
          </c:spPr>
          <c:invertIfNegative val="0"/>
          <c:cat>
            <c:strRef>
              <c:f>'Pivot Table'!$F$4:$F$9</c:f>
              <c:strCache>
                <c:ptCount val="5"/>
                <c:pt idx="0">
                  <c:v>Hirsch</c:v>
                </c:pt>
                <c:pt idx="1">
                  <c:v>Ladd</c:v>
                </c:pt>
                <c:pt idx="2">
                  <c:v>McFay</c:v>
                </c:pt>
                <c:pt idx="3">
                  <c:v>Samora</c:v>
                </c:pt>
                <c:pt idx="4">
                  <c:v>Wood</c:v>
                </c:pt>
              </c:strCache>
            </c:strRef>
          </c:cat>
          <c:val>
            <c:numRef>
              <c:f>'Pivot Table'!$G$4:$G$9</c:f>
              <c:numCache>
                <c:formatCode>General</c:formatCode>
                <c:ptCount val="5"/>
                <c:pt idx="0">
                  <c:v>3825000</c:v>
                </c:pt>
                <c:pt idx="1">
                  <c:v>4335000</c:v>
                </c:pt>
                <c:pt idx="2">
                  <c:v>2826000</c:v>
                </c:pt>
                <c:pt idx="3">
                  <c:v>3285000</c:v>
                </c:pt>
                <c:pt idx="4">
                  <c:v>5424000</c:v>
                </c:pt>
              </c:numCache>
            </c:numRef>
          </c:val>
          <c:extLst>
            <c:ext xmlns:c16="http://schemas.microsoft.com/office/drawing/2014/chart" uri="{C3380CC4-5D6E-409C-BE32-E72D297353CC}">
              <c16:uniqueId val="{00000000-EB4F-421A-80D0-905F308797A5}"/>
            </c:ext>
          </c:extLst>
        </c:ser>
        <c:ser>
          <c:idx val="1"/>
          <c:order val="1"/>
          <c:tx>
            <c:strRef>
              <c:f>'Pivot Table'!$H$3</c:f>
              <c:strCache>
                <c:ptCount val="1"/>
                <c:pt idx="0">
                  <c:v>Average of Progress</c:v>
                </c:pt>
              </c:strCache>
            </c:strRef>
          </c:tx>
          <c:spPr>
            <a:solidFill>
              <a:schemeClr val="accent2"/>
            </a:solidFill>
            <a:ln>
              <a:noFill/>
            </a:ln>
            <a:effectLst/>
          </c:spPr>
          <c:invertIfNegative val="0"/>
          <c:cat>
            <c:strRef>
              <c:f>'Pivot Table'!$F$4:$F$9</c:f>
              <c:strCache>
                <c:ptCount val="5"/>
                <c:pt idx="0">
                  <c:v>Hirsch</c:v>
                </c:pt>
                <c:pt idx="1">
                  <c:v>Ladd</c:v>
                </c:pt>
                <c:pt idx="2">
                  <c:v>McFay</c:v>
                </c:pt>
                <c:pt idx="3">
                  <c:v>Samora</c:v>
                </c:pt>
                <c:pt idx="4">
                  <c:v>Wood</c:v>
                </c:pt>
              </c:strCache>
            </c:strRef>
          </c:cat>
          <c:val>
            <c:numRef>
              <c:f>'Pivot Table'!$H$4:$H$9</c:f>
              <c:numCache>
                <c:formatCode>General</c:formatCode>
                <c:ptCount val="5"/>
                <c:pt idx="0">
                  <c:v>0.59861111111111109</c:v>
                </c:pt>
                <c:pt idx="1">
                  <c:v>0.4458333333333333</c:v>
                </c:pt>
                <c:pt idx="2">
                  <c:v>0.2566964285714286</c:v>
                </c:pt>
                <c:pt idx="3">
                  <c:v>0.51686507936507942</c:v>
                </c:pt>
                <c:pt idx="4">
                  <c:v>0.36959325396825393</c:v>
                </c:pt>
              </c:numCache>
            </c:numRef>
          </c:val>
          <c:extLst>
            <c:ext xmlns:c16="http://schemas.microsoft.com/office/drawing/2014/chart" uri="{C3380CC4-5D6E-409C-BE32-E72D297353CC}">
              <c16:uniqueId val="{00000001-EB4F-421A-80D0-905F308797A5}"/>
            </c:ext>
          </c:extLst>
        </c:ser>
        <c:ser>
          <c:idx val="2"/>
          <c:order val="2"/>
          <c:tx>
            <c:strRef>
              <c:f>'Pivot Table'!$I$3</c:f>
              <c:strCache>
                <c:ptCount val="1"/>
                <c:pt idx="0">
                  <c:v>Sum of Actual</c:v>
                </c:pt>
              </c:strCache>
            </c:strRef>
          </c:tx>
          <c:spPr>
            <a:solidFill>
              <a:schemeClr val="accent3"/>
            </a:solidFill>
            <a:ln>
              <a:noFill/>
            </a:ln>
            <a:effectLst/>
          </c:spPr>
          <c:invertIfNegative val="0"/>
          <c:cat>
            <c:strRef>
              <c:f>'Pivot Table'!$F$4:$F$9</c:f>
              <c:strCache>
                <c:ptCount val="5"/>
                <c:pt idx="0">
                  <c:v>Hirsch</c:v>
                </c:pt>
                <c:pt idx="1">
                  <c:v>Ladd</c:v>
                </c:pt>
                <c:pt idx="2">
                  <c:v>McFay</c:v>
                </c:pt>
                <c:pt idx="3">
                  <c:v>Samora</c:v>
                </c:pt>
                <c:pt idx="4">
                  <c:v>Wood</c:v>
                </c:pt>
              </c:strCache>
            </c:strRef>
          </c:cat>
          <c:val>
            <c:numRef>
              <c:f>'Pivot Table'!$I$4:$I$9</c:f>
              <c:numCache>
                <c:formatCode>General</c:formatCode>
                <c:ptCount val="5"/>
                <c:pt idx="0">
                  <c:v>2672401</c:v>
                </c:pt>
                <c:pt idx="1">
                  <c:v>1516977</c:v>
                </c:pt>
                <c:pt idx="2">
                  <c:v>577197</c:v>
                </c:pt>
                <c:pt idx="3">
                  <c:v>1610823</c:v>
                </c:pt>
                <c:pt idx="4">
                  <c:v>1962893</c:v>
                </c:pt>
              </c:numCache>
            </c:numRef>
          </c:val>
          <c:extLst>
            <c:ext xmlns:c16="http://schemas.microsoft.com/office/drawing/2014/chart" uri="{C3380CC4-5D6E-409C-BE32-E72D297353CC}">
              <c16:uniqueId val="{00000002-EB4F-421A-80D0-905F308797A5}"/>
            </c:ext>
          </c:extLst>
        </c:ser>
        <c:dLbls>
          <c:showLegendKey val="0"/>
          <c:showVal val="0"/>
          <c:showCatName val="0"/>
          <c:showSerName val="0"/>
          <c:showPercent val="0"/>
          <c:showBubbleSize val="0"/>
        </c:dLbls>
        <c:gapWidth val="182"/>
        <c:axId val="461508024"/>
        <c:axId val="461511960"/>
      </c:barChart>
      <c:catAx>
        <c:axId val="461508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11960"/>
        <c:crosses val="autoZero"/>
        <c:auto val="1"/>
        <c:lblAlgn val="ctr"/>
        <c:lblOffset val="100"/>
        <c:noMultiLvlLbl val="0"/>
      </c:catAx>
      <c:valAx>
        <c:axId val="461511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08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project dashboard.xlsx]Pivot Table!PivotTable1</c:name>
    <c:fmtId val="1"/>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Sum of Budget</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Table'!$A$4:$A$9</c:f>
              <c:strCache>
                <c:ptCount val="5"/>
                <c:pt idx="0">
                  <c:v>Alpha</c:v>
                </c:pt>
                <c:pt idx="1">
                  <c:v>Delta</c:v>
                </c:pt>
                <c:pt idx="2">
                  <c:v>Gemini</c:v>
                </c:pt>
                <c:pt idx="3">
                  <c:v>Orion</c:v>
                </c:pt>
                <c:pt idx="4">
                  <c:v>Vega</c:v>
                </c:pt>
              </c:strCache>
            </c:strRef>
          </c:cat>
          <c:val>
            <c:numRef>
              <c:f>'Pivot Table'!$B$4:$B$9</c:f>
              <c:numCache>
                <c:formatCode>General</c:formatCode>
                <c:ptCount val="5"/>
                <c:pt idx="0">
                  <c:v>3962000</c:v>
                </c:pt>
                <c:pt idx="1">
                  <c:v>3949000</c:v>
                </c:pt>
                <c:pt idx="2">
                  <c:v>3849000</c:v>
                </c:pt>
                <c:pt idx="3">
                  <c:v>4305000</c:v>
                </c:pt>
                <c:pt idx="4">
                  <c:v>3630000</c:v>
                </c:pt>
              </c:numCache>
            </c:numRef>
          </c:val>
          <c:extLst>
            <c:ext xmlns:c16="http://schemas.microsoft.com/office/drawing/2014/chart" uri="{C3380CC4-5D6E-409C-BE32-E72D297353CC}">
              <c16:uniqueId val="{00000000-BEA4-4EAB-BD93-EEAD77102B3C}"/>
            </c:ext>
          </c:extLst>
        </c:ser>
        <c:ser>
          <c:idx val="1"/>
          <c:order val="1"/>
          <c:tx>
            <c:strRef>
              <c:f>'Pivot Table'!$C$3</c:f>
              <c:strCache>
                <c:ptCount val="1"/>
                <c:pt idx="0">
                  <c:v>Average of Progress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Table'!$A$4:$A$9</c:f>
              <c:strCache>
                <c:ptCount val="5"/>
                <c:pt idx="0">
                  <c:v>Alpha</c:v>
                </c:pt>
                <c:pt idx="1">
                  <c:v>Delta</c:v>
                </c:pt>
                <c:pt idx="2">
                  <c:v>Gemini</c:v>
                </c:pt>
                <c:pt idx="3">
                  <c:v>Orion</c:v>
                </c:pt>
                <c:pt idx="4">
                  <c:v>Vega</c:v>
                </c:pt>
              </c:strCache>
            </c:strRef>
          </c:cat>
          <c:val>
            <c:numRef>
              <c:f>'Pivot Table'!$C$4:$C$9</c:f>
              <c:numCache>
                <c:formatCode>General</c:formatCode>
                <c:ptCount val="5"/>
                <c:pt idx="0">
                  <c:v>0.41850198412698408</c:v>
                </c:pt>
                <c:pt idx="1">
                  <c:v>0.43055555555555552</c:v>
                </c:pt>
                <c:pt idx="2">
                  <c:v>0.33230158730158726</c:v>
                </c:pt>
                <c:pt idx="3">
                  <c:v>0.51349206349206356</c:v>
                </c:pt>
                <c:pt idx="4">
                  <c:v>0.53619047619047611</c:v>
                </c:pt>
              </c:numCache>
            </c:numRef>
          </c:val>
          <c:extLst>
            <c:ext xmlns:c16="http://schemas.microsoft.com/office/drawing/2014/chart" uri="{C3380CC4-5D6E-409C-BE32-E72D297353CC}">
              <c16:uniqueId val="{00000001-BEA4-4EAB-BD93-EEAD77102B3C}"/>
            </c:ext>
          </c:extLst>
        </c:ser>
        <c:ser>
          <c:idx val="2"/>
          <c:order val="2"/>
          <c:tx>
            <c:strRef>
              <c:f>'Pivot Table'!$D$3</c:f>
              <c:strCache>
                <c:ptCount val="1"/>
                <c:pt idx="0">
                  <c:v>Sum of Actual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Table'!$A$4:$A$9</c:f>
              <c:strCache>
                <c:ptCount val="5"/>
                <c:pt idx="0">
                  <c:v>Alpha</c:v>
                </c:pt>
                <c:pt idx="1">
                  <c:v>Delta</c:v>
                </c:pt>
                <c:pt idx="2">
                  <c:v>Gemini</c:v>
                </c:pt>
                <c:pt idx="3">
                  <c:v>Orion</c:v>
                </c:pt>
                <c:pt idx="4">
                  <c:v>Vega</c:v>
                </c:pt>
              </c:strCache>
            </c:strRef>
          </c:cat>
          <c:val>
            <c:numRef>
              <c:f>'Pivot Table'!$D$4:$D$9</c:f>
              <c:numCache>
                <c:formatCode>General</c:formatCode>
                <c:ptCount val="5"/>
                <c:pt idx="0">
                  <c:v>1911382</c:v>
                </c:pt>
                <c:pt idx="1">
                  <c:v>2059951</c:v>
                </c:pt>
                <c:pt idx="2">
                  <c:v>1208369</c:v>
                </c:pt>
                <c:pt idx="3">
                  <c:v>1557922</c:v>
                </c:pt>
                <c:pt idx="4">
                  <c:v>1602667</c:v>
                </c:pt>
              </c:numCache>
            </c:numRef>
          </c:val>
          <c:extLst>
            <c:ext xmlns:c16="http://schemas.microsoft.com/office/drawing/2014/chart" uri="{C3380CC4-5D6E-409C-BE32-E72D297353CC}">
              <c16:uniqueId val="{00000002-BEA4-4EAB-BD93-EEAD77102B3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project dashboard.xlsx]Pivot 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Budget</a:t>
            </a:r>
            <a:r>
              <a:rPr lang="en-IN" b="1" baseline="0"/>
              <a:t> VS Actual Amount</a:t>
            </a:r>
            <a:endParaRPr lang="en-IN" b="1"/>
          </a:p>
        </c:rich>
      </c:tx>
      <c:layout/>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66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99336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CC66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99336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rgbClr val="CC66FF"/>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99336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269240125472121E-2"/>
          <c:y val="0.18259746103165672"/>
          <c:w val="0.65455249343832023"/>
          <c:h val="0.72088764946048411"/>
        </c:manualLayout>
      </c:layout>
      <c:barChart>
        <c:barDir val="bar"/>
        <c:grouping val="clustered"/>
        <c:varyColors val="0"/>
        <c:ser>
          <c:idx val="0"/>
          <c:order val="0"/>
          <c:tx>
            <c:strRef>
              <c:f>'Pivot Table'!$K$3</c:f>
              <c:strCache>
                <c:ptCount val="1"/>
                <c:pt idx="0">
                  <c:v>Sum of Budget</c:v>
                </c:pt>
              </c:strCache>
            </c:strRef>
          </c:tx>
          <c:spPr>
            <a:solidFill>
              <a:srgbClr val="CC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Table'!$K$4</c:f>
              <c:strCache>
                <c:ptCount val="1"/>
                <c:pt idx="0">
                  <c:v>Total</c:v>
                </c:pt>
              </c:strCache>
            </c:strRef>
          </c:cat>
          <c:val>
            <c:numRef>
              <c:f>'Pivot Table'!$K$4</c:f>
              <c:numCache>
                <c:formatCode>"₹"\ #,##0</c:formatCode>
                <c:ptCount val="1"/>
                <c:pt idx="0">
                  <c:v>19695000</c:v>
                </c:pt>
              </c:numCache>
            </c:numRef>
          </c:val>
          <c:extLst>
            <c:ext xmlns:c16="http://schemas.microsoft.com/office/drawing/2014/chart" uri="{C3380CC4-5D6E-409C-BE32-E72D297353CC}">
              <c16:uniqueId val="{00000000-0E7B-4C18-95EC-26A6AF5BD0EC}"/>
            </c:ext>
          </c:extLst>
        </c:ser>
        <c:ser>
          <c:idx val="1"/>
          <c:order val="1"/>
          <c:tx>
            <c:strRef>
              <c:f>'Pivot Table'!$L$3</c:f>
              <c:strCache>
                <c:ptCount val="1"/>
                <c:pt idx="0">
                  <c:v>Sum of Actual</c:v>
                </c:pt>
              </c:strCache>
            </c:strRef>
          </c:tx>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Table'!$K$4</c:f>
              <c:strCache>
                <c:ptCount val="1"/>
                <c:pt idx="0">
                  <c:v>Total</c:v>
                </c:pt>
              </c:strCache>
            </c:strRef>
          </c:cat>
          <c:val>
            <c:numRef>
              <c:f>'Pivot Table'!$L$4</c:f>
              <c:numCache>
                <c:formatCode>"₹"\ #,##0</c:formatCode>
                <c:ptCount val="1"/>
                <c:pt idx="0">
                  <c:v>8340291</c:v>
                </c:pt>
              </c:numCache>
            </c:numRef>
          </c:val>
          <c:extLst>
            <c:ext xmlns:c16="http://schemas.microsoft.com/office/drawing/2014/chart" uri="{C3380CC4-5D6E-409C-BE32-E72D297353CC}">
              <c16:uniqueId val="{00000001-0E7B-4C18-95EC-26A6AF5BD0EC}"/>
            </c:ext>
          </c:extLst>
        </c:ser>
        <c:dLbls>
          <c:dLblPos val="outEnd"/>
          <c:showLegendKey val="0"/>
          <c:showVal val="1"/>
          <c:showCatName val="0"/>
          <c:showSerName val="0"/>
          <c:showPercent val="0"/>
          <c:showBubbleSize val="0"/>
        </c:dLbls>
        <c:gapWidth val="182"/>
        <c:axId val="279619632"/>
        <c:axId val="279620288"/>
      </c:barChart>
      <c:catAx>
        <c:axId val="279619632"/>
        <c:scaling>
          <c:orientation val="minMax"/>
        </c:scaling>
        <c:delete val="1"/>
        <c:axPos val="l"/>
        <c:numFmt formatCode="General" sourceLinked="1"/>
        <c:majorTickMark val="out"/>
        <c:minorTickMark val="none"/>
        <c:tickLblPos val="nextTo"/>
        <c:crossAx val="279620288"/>
        <c:crosses val="autoZero"/>
        <c:auto val="1"/>
        <c:lblAlgn val="ctr"/>
        <c:lblOffset val="100"/>
        <c:noMultiLvlLbl val="0"/>
      </c:catAx>
      <c:valAx>
        <c:axId val="279620288"/>
        <c:scaling>
          <c:orientation val="minMax"/>
        </c:scaling>
        <c:delete val="1"/>
        <c:axPos val="b"/>
        <c:numFmt formatCode="&quot;₹&quot;\ #,##0" sourceLinked="1"/>
        <c:majorTickMark val="out"/>
        <c:minorTickMark val="none"/>
        <c:tickLblPos val="nextTo"/>
        <c:crossAx val="279619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project dashboard.xlsx]Pivot Table!PivotTable7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Progress by Tasks</a:t>
            </a:r>
          </a:p>
        </c:rich>
      </c:tx>
      <c:layout/>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Table'!$B$27</c:f>
              <c:strCache>
                <c:ptCount val="1"/>
                <c:pt idx="0">
                  <c:v>Total</c:v>
                </c:pt>
              </c:strCache>
            </c:strRef>
          </c:tx>
          <c:spPr>
            <a:ln w="28575" cap="rnd">
              <a:solidFill>
                <a:schemeClr val="accent1"/>
              </a:solidFill>
              <a:round/>
            </a:ln>
            <a:effectLst/>
          </c:spPr>
          <c:marker>
            <c:symbol val="none"/>
          </c:marker>
          <c:cat>
            <c:strRef>
              <c:f>'Pivot Table'!$A$28:$A$33</c:f>
              <c:strCache>
                <c:ptCount val="5"/>
                <c:pt idx="0">
                  <c:v>Alpha</c:v>
                </c:pt>
                <c:pt idx="1">
                  <c:v>Delta</c:v>
                </c:pt>
                <c:pt idx="2">
                  <c:v>Gemini</c:v>
                </c:pt>
                <c:pt idx="3">
                  <c:v>Orion</c:v>
                </c:pt>
                <c:pt idx="4">
                  <c:v>Vega</c:v>
                </c:pt>
              </c:strCache>
            </c:strRef>
          </c:cat>
          <c:val>
            <c:numRef>
              <c:f>'Pivot Table'!$B$28:$B$33</c:f>
              <c:numCache>
                <c:formatCode>0.00</c:formatCode>
                <c:ptCount val="5"/>
                <c:pt idx="0">
                  <c:v>0.41850198412698408</c:v>
                </c:pt>
                <c:pt idx="1">
                  <c:v>0.43055555555555552</c:v>
                </c:pt>
                <c:pt idx="2">
                  <c:v>0.33230158730158726</c:v>
                </c:pt>
                <c:pt idx="3">
                  <c:v>0.51349206349206356</c:v>
                </c:pt>
                <c:pt idx="4">
                  <c:v>0.53619047619047611</c:v>
                </c:pt>
              </c:numCache>
            </c:numRef>
          </c:val>
          <c:smooth val="0"/>
          <c:extLst>
            <c:ext xmlns:c16="http://schemas.microsoft.com/office/drawing/2014/chart" uri="{C3380CC4-5D6E-409C-BE32-E72D297353CC}">
              <c16:uniqueId val="{00000000-7247-43BD-B3B8-EF50FA8951A2}"/>
            </c:ext>
          </c:extLst>
        </c:ser>
        <c:dLbls>
          <c:showLegendKey val="0"/>
          <c:showVal val="0"/>
          <c:showCatName val="0"/>
          <c:showSerName val="0"/>
          <c:showPercent val="0"/>
          <c:showBubbleSize val="0"/>
        </c:dLbls>
        <c:smooth val="0"/>
        <c:axId val="276701680"/>
        <c:axId val="276702664"/>
      </c:lineChart>
      <c:catAx>
        <c:axId val="27670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02664"/>
        <c:crosses val="autoZero"/>
        <c:auto val="1"/>
        <c:lblAlgn val="ctr"/>
        <c:lblOffset val="100"/>
        <c:noMultiLvlLbl val="0"/>
      </c:catAx>
      <c:valAx>
        <c:axId val="276702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01680"/>
        <c:crosses val="autoZero"/>
        <c:crossBetween val="between"/>
      </c:valAx>
      <c:spPr>
        <a:noFill/>
        <a:ln>
          <a:noFill/>
        </a:ln>
        <a:effectLst/>
      </c:spPr>
    </c:plotArea>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project dashboard.xlsx]Pivot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Avereage</a:t>
            </a:r>
            <a:r>
              <a:rPr lang="en-IN" b="1" baseline="0"/>
              <a:t> Progress By Actual cost and Budget</a:t>
            </a:r>
            <a:endParaRPr lang="en-IN" b="1"/>
          </a:p>
        </c:rich>
      </c:tx>
      <c:layout/>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0.27994790829717708"/>
          <c:y val="0.15723825219521978"/>
          <c:w val="0.47180459585408974"/>
          <c:h val="0.73093258691500773"/>
        </c:manualLayout>
      </c:layout>
      <c:barChart>
        <c:barDir val="bar"/>
        <c:grouping val="clustered"/>
        <c:varyColors val="0"/>
        <c:ser>
          <c:idx val="0"/>
          <c:order val="0"/>
          <c:tx>
            <c:strRef>
              <c:f>'Pivot Table'!$G$3</c:f>
              <c:strCache>
                <c:ptCount val="1"/>
                <c:pt idx="0">
                  <c:v>Sum of Budget</c:v>
                </c:pt>
              </c:strCache>
            </c:strRef>
          </c:tx>
          <c:spPr>
            <a:solidFill>
              <a:schemeClr val="accent1"/>
            </a:solidFill>
            <a:ln>
              <a:noFill/>
            </a:ln>
            <a:effectLst/>
          </c:spPr>
          <c:invertIfNegative val="0"/>
          <c:cat>
            <c:strRef>
              <c:f>'Pivot Table'!$F$4:$F$9</c:f>
              <c:strCache>
                <c:ptCount val="5"/>
                <c:pt idx="0">
                  <c:v>Hirsch</c:v>
                </c:pt>
                <c:pt idx="1">
                  <c:v>Ladd</c:v>
                </c:pt>
                <c:pt idx="2">
                  <c:v>McFay</c:v>
                </c:pt>
                <c:pt idx="3">
                  <c:v>Samora</c:v>
                </c:pt>
                <c:pt idx="4">
                  <c:v>Wood</c:v>
                </c:pt>
              </c:strCache>
            </c:strRef>
          </c:cat>
          <c:val>
            <c:numRef>
              <c:f>'Pivot Table'!$G$4:$G$9</c:f>
              <c:numCache>
                <c:formatCode>General</c:formatCode>
                <c:ptCount val="5"/>
                <c:pt idx="0">
                  <c:v>3825000</c:v>
                </c:pt>
                <c:pt idx="1">
                  <c:v>4335000</c:v>
                </c:pt>
                <c:pt idx="2">
                  <c:v>2826000</c:v>
                </c:pt>
                <c:pt idx="3">
                  <c:v>3285000</c:v>
                </c:pt>
                <c:pt idx="4">
                  <c:v>5424000</c:v>
                </c:pt>
              </c:numCache>
            </c:numRef>
          </c:val>
          <c:extLst>
            <c:ext xmlns:c16="http://schemas.microsoft.com/office/drawing/2014/chart" uri="{C3380CC4-5D6E-409C-BE32-E72D297353CC}">
              <c16:uniqueId val="{00000000-9063-4F1D-8DF1-28700CBFFCFF}"/>
            </c:ext>
          </c:extLst>
        </c:ser>
        <c:ser>
          <c:idx val="1"/>
          <c:order val="1"/>
          <c:tx>
            <c:strRef>
              <c:f>'Pivot Table'!$H$3</c:f>
              <c:strCache>
                <c:ptCount val="1"/>
                <c:pt idx="0">
                  <c:v>Average of Progress</c:v>
                </c:pt>
              </c:strCache>
            </c:strRef>
          </c:tx>
          <c:spPr>
            <a:solidFill>
              <a:schemeClr val="accent2"/>
            </a:solidFill>
            <a:ln>
              <a:noFill/>
            </a:ln>
            <a:effectLst/>
          </c:spPr>
          <c:invertIfNegative val="0"/>
          <c:cat>
            <c:strRef>
              <c:f>'Pivot Table'!$F$4:$F$9</c:f>
              <c:strCache>
                <c:ptCount val="5"/>
                <c:pt idx="0">
                  <c:v>Hirsch</c:v>
                </c:pt>
                <c:pt idx="1">
                  <c:v>Ladd</c:v>
                </c:pt>
                <c:pt idx="2">
                  <c:v>McFay</c:v>
                </c:pt>
                <c:pt idx="3">
                  <c:v>Samora</c:v>
                </c:pt>
                <c:pt idx="4">
                  <c:v>Wood</c:v>
                </c:pt>
              </c:strCache>
            </c:strRef>
          </c:cat>
          <c:val>
            <c:numRef>
              <c:f>'Pivot Table'!$H$4:$H$9</c:f>
              <c:numCache>
                <c:formatCode>General</c:formatCode>
                <c:ptCount val="5"/>
                <c:pt idx="0">
                  <c:v>0.59861111111111109</c:v>
                </c:pt>
                <c:pt idx="1">
                  <c:v>0.4458333333333333</c:v>
                </c:pt>
                <c:pt idx="2">
                  <c:v>0.2566964285714286</c:v>
                </c:pt>
                <c:pt idx="3">
                  <c:v>0.51686507936507942</c:v>
                </c:pt>
                <c:pt idx="4">
                  <c:v>0.36959325396825393</c:v>
                </c:pt>
              </c:numCache>
            </c:numRef>
          </c:val>
          <c:extLst>
            <c:ext xmlns:c16="http://schemas.microsoft.com/office/drawing/2014/chart" uri="{C3380CC4-5D6E-409C-BE32-E72D297353CC}">
              <c16:uniqueId val="{00000001-9063-4F1D-8DF1-28700CBFFCFF}"/>
            </c:ext>
          </c:extLst>
        </c:ser>
        <c:ser>
          <c:idx val="2"/>
          <c:order val="2"/>
          <c:tx>
            <c:strRef>
              <c:f>'Pivot Table'!$I$3</c:f>
              <c:strCache>
                <c:ptCount val="1"/>
                <c:pt idx="0">
                  <c:v>Sum of Actual</c:v>
                </c:pt>
              </c:strCache>
            </c:strRef>
          </c:tx>
          <c:spPr>
            <a:solidFill>
              <a:schemeClr val="accent3"/>
            </a:solidFill>
            <a:ln>
              <a:noFill/>
            </a:ln>
            <a:effectLst/>
          </c:spPr>
          <c:invertIfNegative val="0"/>
          <c:cat>
            <c:strRef>
              <c:f>'Pivot Table'!$F$4:$F$9</c:f>
              <c:strCache>
                <c:ptCount val="5"/>
                <c:pt idx="0">
                  <c:v>Hirsch</c:v>
                </c:pt>
                <c:pt idx="1">
                  <c:v>Ladd</c:v>
                </c:pt>
                <c:pt idx="2">
                  <c:v>McFay</c:v>
                </c:pt>
                <c:pt idx="3">
                  <c:v>Samora</c:v>
                </c:pt>
                <c:pt idx="4">
                  <c:v>Wood</c:v>
                </c:pt>
              </c:strCache>
            </c:strRef>
          </c:cat>
          <c:val>
            <c:numRef>
              <c:f>'Pivot Table'!$I$4:$I$9</c:f>
              <c:numCache>
                <c:formatCode>General</c:formatCode>
                <c:ptCount val="5"/>
                <c:pt idx="0">
                  <c:v>2672401</c:v>
                </c:pt>
                <c:pt idx="1">
                  <c:v>1516977</c:v>
                </c:pt>
                <c:pt idx="2">
                  <c:v>577197</c:v>
                </c:pt>
                <c:pt idx="3">
                  <c:v>1610823</c:v>
                </c:pt>
                <c:pt idx="4">
                  <c:v>1962893</c:v>
                </c:pt>
              </c:numCache>
            </c:numRef>
          </c:val>
          <c:extLst>
            <c:ext xmlns:c16="http://schemas.microsoft.com/office/drawing/2014/chart" uri="{C3380CC4-5D6E-409C-BE32-E72D297353CC}">
              <c16:uniqueId val="{00000002-9063-4F1D-8DF1-28700CBFFCFF}"/>
            </c:ext>
          </c:extLst>
        </c:ser>
        <c:dLbls>
          <c:showLegendKey val="0"/>
          <c:showVal val="0"/>
          <c:showCatName val="0"/>
          <c:showSerName val="0"/>
          <c:showPercent val="0"/>
          <c:showBubbleSize val="0"/>
        </c:dLbls>
        <c:gapWidth val="182"/>
        <c:axId val="461508024"/>
        <c:axId val="461511960"/>
      </c:barChart>
      <c:catAx>
        <c:axId val="461508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11960"/>
        <c:crosses val="autoZero"/>
        <c:auto val="1"/>
        <c:lblAlgn val="ctr"/>
        <c:lblOffset val="100"/>
        <c:noMultiLvlLbl val="0"/>
      </c:catAx>
      <c:valAx>
        <c:axId val="461511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08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project dashboard.xlsx]Pivot Table!PivotTable1</c:name>
    <c:fmtId val="4"/>
  </c:pivotSource>
  <c:chart>
    <c:title>
      <c:layout/>
      <c:overlay val="0"/>
      <c:spPr>
        <a:solidFill>
          <a:schemeClr val="accent1">
            <a:lumMod val="40000"/>
            <a:lumOff val="6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c:f>
              <c:strCache>
                <c:ptCount val="1"/>
                <c:pt idx="0">
                  <c:v>Sum of Budget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EBB-4324-BF6B-2D661387241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EBB-4324-BF6B-2D661387241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EBB-4324-BF6B-2D661387241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EBB-4324-BF6B-2D661387241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EBB-4324-BF6B-2D661387241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Table'!$A$4:$A$9</c:f>
              <c:strCache>
                <c:ptCount val="5"/>
                <c:pt idx="0">
                  <c:v>Alpha</c:v>
                </c:pt>
                <c:pt idx="1">
                  <c:v>Delta</c:v>
                </c:pt>
                <c:pt idx="2">
                  <c:v>Gemini</c:v>
                </c:pt>
                <c:pt idx="3">
                  <c:v>Orion</c:v>
                </c:pt>
                <c:pt idx="4">
                  <c:v>Vega</c:v>
                </c:pt>
              </c:strCache>
            </c:strRef>
          </c:cat>
          <c:val>
            <c:numRef>
              <c:f>'Pivot Table'!$B$4:$B$9</c:f>
              <c:numCache>
                <c:formatCode>General</c:formatCode>
                <c:ptCount val="5"/>
                <c:pt idx="0">
                  <c:v>3962000</c:v>
                </c:pt>
                <c:pt idx="1">
                  <c:v>3949000</c:v>
                </c:pt>
                <c:pt idx="2">
                  <c:v>3849000</c:v>
                </c:pt>
                <c:pt idx="3">
                  <c:v>4305000</c:v>
                </c:pt>
                <c:pt idx="4">
                  <c:v>3630000</c:v>
                </c:pt>
              </c:numCache>
            </c:numRef>
          </c:val>
          <c:extLst>
            <c:ext xmlns:c16="http://schemas.microsoft.com/office/drawing/2014/chart" uri="{C3380CC4-5D6E-409C-BE32-E72D297353CC}">
              <c16:uniqueId val="{0000000A-AEBB-4324-BF6B-2D661387241D}"/>
            </c:ext>
          </c:extLst>
        </c:ser>
        <c:ser>
          <c:idx val="1"/>
          <c:order val="1"/>
          <c:tx>
            <c:strRef>
              <c:f>'Pivot Table'!$C$3</c:f>
              <c:strCache>
                <c:ptCount val="1"/>
                <c:pt idx="0">
                  <c:v>Average of Progress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AEBB-4324-BF6B-2D661387241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AEBB-4324-BF6B-2D661387241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AEBB-4324-BF6B-2D661387241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AEBB-4324-BF6B-2D661387241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AEBB-4324-BF6B-2D661387241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Table'!$A$4:$A$9</c:f>
              <c:strCache>
                <c:ptCount val="5"/>
                <c:pt idx="0">
                  <c:v>Alpha</c:v>
                </c:pt>
                <c:pt idx="1">
                  <c:v>Delta</c:v>
                </c:pt>
                <c:pt idx="2">
                  <c:v>Gemini</c:v>
                </c:pt>
                <c:pt idx="3">
                  <c:v>Orion</c:v>
                </c:pt>
                <c:pt idx="4">
                  <c:v>Vega</c:v>
                </c:pt>
              </c:strCache>
            </c:strRef>
          </c:cat>
          <c:val>
            <c:numRef>
              <c:f>'Pivot Table'!$C$4:$C$9</c:f>
              <c:numCache>
                <c:formatCode>General</c:formatCode>
                <c:ptCount val="5"/>
                <c:pt idx="0">
                  <c:v>0.41850198412698408</c:v>
                </c:pt>
                <c:pt idx="1">
                  <c:v>0.43055555555555552</c:v>
                </c:pt>
                <c:pt idx="2">
                  <c:v>0.33230158730158726</c:v>
                </c:pt>
                <c:pt idx="3">
                  <c:v>0.51349206349206356</c:v>
                </c:pt>
                <c:pt idx="4">
                  <c:v>0.53619047619047611</c:v>
                </c:pt>
              </c:numCache>
            </c:numRef>
          </c:val>
          <c:extLst>
            <c:ext xmlns:c16="http://schemas.microsoft.com/office/drawing/2014/chart" uri="{C3380CC4-5D6E-409C-BE32-E72D297353CC}">
              <c16:uniqueId val="{00000015-AEBB-4324-BF6B-2D661387241D}"/>
            </c:ext>
          </c:extLst>
        </c:ser>
        <c:ser>
          <c:idx val="2"/>
          <c:order val="2"/>
          <c:tx>
            <c:strRef>
              <c:f>'Pivot Table'!$D$3</c:f>
              <c:strCache>
                <c:ptCount val="1"/>
                <c:pt idx="0">
                  <c:v>Sum of Actual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AEBB-4324-BF6B-2D661387241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AEBB-4324-BF6B-2D661387241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AEBB-4324-BF6B-2D661387241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AEBB-4324-BF6B-2D661387241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AEBB-4324-BF6B-2D661387241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Table'!$A$4:$A$9</c:f>
              <c:strCache>
                <c:ptCount val="5"/>
                <c:pt idx="0">
                  <c:v>Alpha</c:v>
                </c:pt>
                <c:pt idx="1">
                  <c:v>Delta</c:v>
                </c:pt>
                <c:pt idx="2">
                  <c:v>Gemini</c:v>
                </c:pt>
                <c:pt idx="3">
                  <c:v>Orion</c:v>
                </c:pt>
                <c:pt idx="4">
                  <c:v>Vega</c:v>
                </c:pt>
              </c:strCache>
            </c:strRef>
          </c:cat>
          <c:val>
            <c:numRef>
              <c:f>'Pivot Table'!$D$4:$D$9</c:f>
              <c:numCache>
                <c:formatCode>General</c:formatCode>
                <c:ptCount val="5"/>
                <c:pt idx="0">
                  <c:v>1911382</c:v>
                </c:pt>
                <c:pt idx="1">
                  <c:v>2059951</c:v>
                </c:pt>
                <c:pt idx="2">
                  <c:v>1208369</c:v>
                </c:pt>
                <c:pt idx="3">
                  <c:v>1557922</c:v>
                </c:pt>
                <c:pt idx="4">
                  <c:v>1602667</c:v>
                </c:pt>
              </c:numCache>
            </c:numRef>
          </c:val>
          <c:extLst>
            <c:ext xmlns:c16="http://schemas.microsoft.com/office/drawing/2014/chart" uri="{C3380CC4-5D6E-409C-BE32-E72D297353CC}">
              <c16:uniqueId val="{00000020-AEBB-4324-BF6B-2D661387241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0</xdr:colOff>
      <xdr:row>5</xdr:row>
      <xdr:rowOff>28575</xdr:rowOff>
    </xdr:from>
    <xdr:to>
      <xdr:col>15</xdr:col>
      <xdr:colOff>371475</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26</xdr:row>
      <xdr:rowOff>28575</xdr:rowOff>
    </xdr:from>
    <xdr:to>
      <xdr:col>7</xdr:col>
      <xdr:colOff>533400</xdr:colOff>
      <xdr:row>40</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666750</xdr:colOff>
      <xdr:row>41</xdr:row>
      <xdr:rowOff>104775</xdr:rowOff>
    </xdr:from>
    <xdr:to>
      <xdr:col>8</xdr:col>
      <xdr:colOff>352425</xdr:colOff>
      <xdr:row>55</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485775</xdr:colOff>
      <xdr:row>41</xdr:row>
      <xdr:rowOff>19050</xdr:rowOff>
    </xdr:from>
    <xdr:to>
      <xdr:col>13</xdr:col>
      <xdr:colOff>352425</xdr:colOff>
      <xdr:row>55</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85725</xdr:colOff>
      <xdr:row>15</xdr:row>
      <xdr:rowOff>9525</xdr:rowOff>
    </xdr:from>
    <xdr:to>
      <xdr:col>21</xdr:col>
      <xdr:colOff>542925</xdr:colOff>
      <xdr:row>29</xdr:row>
      <xdr:rowOff>0</xdr:rowOff>
    </xdr:to>
    <mc:AlternateContent xmlns:mc="http://schemas.openxmlformats.org/markup-compatibility/2006">
      <mc:Choice xmlns:a14="http://schemas.microsoft.com/office/drawing/2010/main" Requires="a14">
        <xdr:graphicFrame macro="">
          <xdr:nvGraphicFramePr>
            <xdr:cNvPr id="6" name="Project"/>
            <xdr:cNvGraphicFramePr/>
          </xdr:nvGraphicFramePr>
          <xdr:xfrm>
            <a:off x="0" y="0"/>
            <a:ext cx="0" cy="0"/>
          </xdr:xfrm>
          <a:graphic>
            <a:graphicData uri="http://schemas.microsoft.com/office/drawing/2010/slicer">
              <sle:slicer xmlns:sle="http://schemas.microsoft.com/office/drawing/2010/slicer" name="Project"/>
            </a:graphicData>
          </a:graphic>
        </xdr:graphicFrame>
      </mc:Choice>
      <mc:Fallback>
        <xdr:sp macro="" textlink="">
          <xdr:nvSpPr>
            <xdr:cNvPr id="0" name=""/>
            <xdr:cNvSpPr>
              <a:spLocks noTextEdit="1"/>
            </xdr:cNvSpPr>
          </xdr:nvSpPr>
          <xdr:spPr>
            <a:xfrm>
              <a:off x="18611850" y="2933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95250</xdr:colOff>
      <xdr:row>0</xdr:row>
      <xdr:rowOff>152400</xdr:rowOff>
    </xdr:from>
    <xdr:to>
      <xdr:col>21</xdr:col>
      <xdr:colOff>552450</xdr:colOff>
      <xdr:row>14</xdr:row>
      <xdr:rowOff>38100</xdr:rowOff>
    </xdr:to>
    <mc:AlternateContent xmlns:mc="http://schemas.openxmlformats.org/markup-compatibility/2006">
      <mc:Choice xmlns:a14="http://schemas.microsoft.com/office/drawing/2010/main" Requires="a14">
        <xdr:graphicFrame macro="">
          <xdr:nvGraphicFramePr>
            <xdr:cNvPr id="7" name="Manage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18621375" y="152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xdr:colOff>
      <xdr:row>19</xdr:row>
      <xdr:rowOff>114300</xdr:rowOff>
    </xdr:from>
    <xdr:to>
      <xdr:col>12</xdr:col>
      <xdr:colOff>866775</xdr:colOff>
      <xdr:row>33</xdr:row>
      <xdr:rowOff>104775</xdr:rowOff>
    </xdr:to>
    <mc:AlternateContent xmlns:mc="http://schemas.openxmlformats.org/markup-compatibility/2006">
      <mc:Choice xmlns:a14="http://schemas.microsoft.com/office/drawing/2010/main" Requires="a14">
        <xdr:graphicFrame macro="">
          <xdr:nvGraphicFramePr>
            <xdr:cNvPr id="8" name="Start Date"/>
            <xdr:cNvGraphicFramePr/>
          </xdr:nvGraphicFramePr>
          <xdr:xfrm>
            <a:off x="0" y="0"/>
            <a:ext cx="0" cy="0"/>
          </xdr:xfrm>
          <a:graphic>
            <a:graphicData uri="http://schemas.microsoft.com/office/drawing/2010/slicer">
              <sle:slicer xmlns:sle="http://schemas.microsoft.com/office/drawing/2010/slicer" name="Start Date"/>
            </a:graphicData>
          </a:graphic>
        </xdr:graphicFrame>
      </mc:Choice>
      <mc:Fallback>
        <xdr:sp macro="" textlink="">
          <xdr:nvSpPr>
            <xdr:cNvPr id="0" name=""/>
            <xdr:cNvSpPr>
              <a:spLocks noTextEdit="1"/>
            </xdr:cNvSpPr>
          </xdr:nvSpPr>
          <xdr:spPr>
            <a:xfrm>
              <a:off x="12239625" y="3762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457200</xdr:colOff>
      <xdr:row>19</xdr:row>
      <xdr:rowOff>142875</xdr:rowOff>
    </xdr:from>
    <xdr:to>
      <xdr:col>16</xdr:col>
      <xdr:colOff>28575</xdr:colOff>
      <xdr:row>33</xdr:row>
      <xdr:rowOff>133350</xdr:rowOff>
    </xdr:to>
    <mc:AlternateContent xmlns:mc="http://schemas.openxmlformats.org/markup-compatibility/2006">
      <mc:Choice xmlns:a14="http://schemas.microsoft.com/office/drawing/2010/main" Requires="a14">
        <xdr:graphicFrame macro="">
          <xdr:nvGraphicFramePr>
            <xdr:cNvPr id="9" name="Duration"/>
            <xdr:cNvGraphicFramePr/>
          </xdr:nvGraphicFramePr>
          <xdr:xfrm>
            <a:off x="0" y="0"/>
            <a:ext cx="0" cy="0"/>
          </xdr:xfrm>
          <a:graphic>
            <a:graphicData uri="http://schemas.microsoft.com/office/drawing/2010/slicer">
              <sle:slicer xmlns:sle="http://schemas.microsoft.com/office/drawing/2010/slicer" name="Duration"/>
            </a:graphicData>
          </a:graphic>
        </xdr:graphicFrame>
      </mc:Choice>
      <mc:Fallback>
        <xdr:sp macro="" textlink="">
          <xdr:nvSpPr>
            <xdr:cNvPr id="0" name=""/>
            <xdr:cNvSpPr>
              <a:spLocks noTextEdit="1"/>
            </xdr:cNvSpPr>
          </xdr:nvSpPr>
          <xdr:spPr>
            <a:xfrm>
              <a:off x="14668500" y="3790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95250</xdr:colOff>
      <xdr:row>14</xdr:row>
      <xdr:rowOff>114300</xdr:rowOff>
    </xdr:from>
    <xdr:to>
      <xdr:col>18</xdr:col>
      <xdr:colOff>552450</xdr:colOff>
      <xdr:row>28</xdr:row>
      <xdr:rowOff>0</xdr:rowOff>
    </xdr:to>
    <mc:AlternateContent xmlns:mc="http://schemas.openxmlformats.org/markup-compatibility/2006">
      <mc:Choice xmlns:a14="http://schemas.microsoft.com/office/drawing/2010/main" Requires="a14">
        <xdr:graphicFrame macro="">
          <xdr:nvGraphicFramePr>
            <xdr:cNvPr id="10" name="End Date"/>
            <xdr:cNvGraphicFramePr/>
          </xdr:nvGraphicFramePr>
          <xdr:xfrm>
            <a:off x="0" y="0"/>
            <a:ext cx="0" cy="0"/>
          </xdr:xfrm>
          <a:graphic>
            <a:graphicData uri="http://schemas.microsoft.com/office/drawing/2010/slicer">
              <sle:slicer xmlns:sle="http://schemas.microsoft.com/office/drawing/2010/slicer" name="End Date"/>
            </a:graphicData>
          </a:graphic>
        </xdr:graphicFrame>
      </mc:Choice>
      <mc:Fallback>
        <xdr:sp macro="" textlink="">
          <xdr:nvSpPr>
            <xdr:cNvPr id="0" name=""/>
            <xdr:cNvSpPr>
              <a:spLocks noTextEdit="1"/>
            </xdr:cNvSpPr>
          </xdr:nvSpPr>
          <xdr:spPr>
            <a:xfrm>
              <a:off x="16563975" y="2752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28575</xdr:colOff>
      <xdr:row>0</xdr:row>
      <xdr:rowOff>161925</xdr:rowOff>
    </xdr:from>
    <xdr:to>
      <xdr:col>18</xdr:col>
      <xdr:colOff>485775</xdr:colOff>
      <xdr:row>14</xdr:row>
      <xdr:rowOff>47625</xdr:rowOff>
    </xdr:to>
    <mc:AlternateContent xmlns:mc="http://schemas.openxmlformats.org/markup-compatibility/2006">
      <mc:Choice xmlns:a14="http://schemas.microsoft.com/office/drawing/2010/main" Requires="a14">
        <xdr:graphicFrame macro="">
          <xdr:nvGraphicFramePr>
            <xdr:cNvPr id="11" name="Progress"/>
            <xdr:cNvGraphicFramePr/>
          </xdr:nvGraphicFramePr>
          <xdr:xfrm>
            <a:off x="0" y="0"/>
            <a:ext cx="0" cy="0"/>
          </xdr:xfrm>
          <a:graphic>
            <a:graphicData uri="http://schemas.microsoft.com/office/drawing/2010/slicer">
              <sle:slicer xmlns:sle="http://schemas.microsoft.com/office/drawing/2010/slicer" name="Progress"/>
            </a:graphicData>
          </a:graphic>
        </xdr:graphicFrame>
      </mc:Choice>
      <mc:Fallback>
        <xdr:sp macro="" textlink="">
          <xdr:nvSpPr>
            <xdr:cNvPr id="0" name=""/>
            <xdr:cNvSpPr>
              <a:spLocks noTextEdit="1"/>
            </xdr:cNvSpPr>
          </xdr:nvSpPr>
          <xdr:spPr>
            <a:xfrm>
              <a:off x="16497300" y="161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0</xdr:row>
      <xdr:rowOff>28575</xdr:rowOff>
    </xdr:from>
    <xdr:to>
      <xdr:col>28</xdr:col>
      <xdr:colOff>257175</xdr:colOff>
      <xdr:row>38</xdr:row>
      <xdr:rowOff>76200</xdr:rowOff>
    </xdr:to>
    <xdr:sp macro="" textlink="">
      <xdr:nvSpPr>
        <xdr:cNvPr id="2" name="Rectangle 1"/>
        <xdr:cNvSpPr/>
      </xdr:nvSpPr>
      <xdr:spPr>
        <a:xfrm>
          <a:off x="133350" y="28575"/>
          <a:ext cx="17192625" cy="7286625"/>
        </a:xfrm>
        <a:prstGeom prst="rect">
          <a:avLst/>
        </a:prstGeom>
        <a:solidFill>
          <a:schemeClr val="accent5">
            <a:lumMod val="75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209550</xdr:colOff>
      <xdr:row>0</xdr:row>
      <xdr:rowOff>104775</xdr:rowOff>
    </xdr:from>
    <xdr:to>
      <xdr:col>19</xdr:col>
      <xdr:colOff>266700</xdr:colOff>
      <xdr:row>3</xdr:row>
      <xdr:rowOff>133350</xdr:rowOff>
    </xdr:to>
    <xdr:sp macro="" textlink="">
      <xdr:nvSpPr>
        <xdr:cNvPr id="3" name="TextBox 2"/>
        <xdr:cNvSpPr txBox="1"/>
      </xdr:nvSpPr>
      <xdr:spPr>
        <a:xfrm>
          <a:off x="5086350" y="104775"/>
          <a:ext cx="6762750" cy="6000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chemeClr val="tx1"/>
              </a:solidFill>
            </a:rPr>
            <a:t>Project Management Dashboard</a:t>
          </a:r>
        </a:p>
      </xdr:txBody>
    </xdr:sp>
    <xdr:clientData/>
  </xdr:twoCellAnchor>
  <xdr:twoCellAnchor>
    <xdr:from>
      <xdr:col>0</xdr:col>
      <xdr:colOff>238125</xdr:colOff>
      <xdr:row>0</xdr:row>
      <xdr:rowOff>66675</xdr:rowOff>
    </xdr:from>
    <xdr:to>
      <xdr:col>3</xdr:col>
      <xdr:colOff>514350</xdr:colOff>
      <xdr:row>4</xdr:row>
      <xdr:rowOff>161925</xdr:rowOff>
    </xdr:to>
    <xdr:sp macro="" textlink="">
      <xdr:nvSpPr>
        <xdr:cNvPr id="4" name="Rounded Rectangle 3"/>
        <xdr:cNvSpPr/>
      </xdr:nvSpPr>
      <xdr:spPr>
        <a:xfrm>
          <a:off x="238125" y="66675"/>
          <a:ext cx="2333625" cy="819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323849</xdr:colOff>
      <xdr:row>0</xdr:row>
      <xdr:rowOff>133350</xdr:rowOff>
    </xdr:from>
    <xdr:to>
      <xdr:col>3</xdr:col>
      <xdr:colOff>323850</xdr:colOff>
      <xdr:row>4</xdr:row>
      <xdr:rowOff>57150</xdr:rowOff>
    </xdr:to>
    <xdr:sp macro="" textlink="">
      <xdr:nvSpPr>
        <xdr:cNvPr id="5" name="TextBox 4"/>
        <xdr:cNvSpPr txBox="1"/>
      </xdr:nvSpPr>
      <xdr:spPr>
        <a:xfrm>
          <a:off x="323849" y="133350"/>
          <a:ext cx="2057401" cy="6477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 </a:t>
          </a:r>
          <a:r>
            <a:rPr lang="en-IN" sz="1400" b="1" baseline="0">
              <a:solidFill>
                <a:schemeClr val="tx1"/>
              </a:solidFill>
            </a:rPr>
            <a:t>    </a:t>
          </a:r>
          <a:r>
            <a:rPr lang="en-IN" sz="1400"/>
            <a:t> </a:t>
          </a:r>
        </a:p>
        <a:p>
          <a:pPr algn="ctr"/>
          <a:r>
            <a:rPr lang="en-IN" sz="1400" b="1">
              <a:solidFill>
                <a:schemeClr val="tx1"/>
              </a:solidFill>
            </a:rPr>
            <a:t>Total Projects = 41</a:t>
          </a:r>
        </a:p>
      </xdr:txBody>
    </xdr:sp>
    <xdr:clientData/>
  </xdr:twoCellAnchor>
  <xdr:twoCellAnchor>
    <xdr:from>
      <xdr:col>0</xdr:col>
      <xdr:colOff>200025</xdr:colOff>
      <xdr:row>4</xdr:row>
      <xdr:rowOff>171450</xdr:rowOff>
    </xdr:from>
    <xdr:to>
      <xdr:col>3</xdr:col>
      <xdr:colOff>619125</xdr:colOff>
      <xdr:row>9</xdr:row>
      <xdr:rowOff>57150</xdr:rowOff>
    </xdr:to>
    <xdr:sp macro="" textlink="">
      <xdr:nvSpPr>
        <xdr:cNvPr id="6" name="Rounded Rectangle 5"/>
        <xdr:cNvSpPr/>
      </xdr:nvSpPr>
      <xdr:spPr>
        <a:xfrm>
          <a:off x="200025" y="895350"/>
          <a:ext cx="2476500" cy="790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257175</xdr:colOff>
      <xdr:row>5</xdr:row>
      <xdr:rowOff>76199</xdr:rowOff>
    </xdr:from>
    <xdr:to>
      <xdr:col>3</xdr:col>
      <xdr:colOff>514350</xdr:colOff>
      <xdr:row>8</xdr:row>
      <xdr:rowOff>114299</xdr:rowOff>
    </xdr:to>
    <xdr:sp macro="" textlink="">
      <xdr:nvSpPr>
        <xdr:cNvPr id="7" name="TextBox 6"/>
        <xdr:cNvSpPr txBox="1"/>
      </xdr:nvSpPr>
      <xdr:spPr>
        <a:xfrm>
          <a:off x="257175" y="981074"/>
          <a:ext cx="2314575" cy="58102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Total Budget</a:t>
          </a:r>
          <a:r>
            <a:rPr lang="en-IN" sz="1400" b="1"/>
            <a:t> </a:t>
          </a:r>
          <a:r>
            <a:rPr lang="en-IN" sz="1400" b="1" baseline="0"/>
            <a:t> </a:t>
          </a:r>
          <a:r>
            <a:rPr lang="en-IN" sz="1400" b="1" i="0" u="none" strike="noStrike">
              <a:solidFill>
                <a:schemeClr val="dk1"/>
              </a:solidFill>
              <a:effectLst/>
              <a:latin typeface="+mn-lt"/>
              <a:ea typeface="+mn-ea"/>
              <a:cs typeface="+mn-cs"/>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100" b="1" i="0">
              <a:solidFill>
                <a:schemeClr val="dk1"/>
              </a:solidFill>
              <a:effectLst/>
              <a:latin typeface="+mn-lt"/>
              <a:ea typeface="+mn-ea"/>
              <a:cs typeface="+mn-cs"/>
            </a:rPr>
            <a:t>$ 1,96,95,000 </a:t>
          </a:r>
          <a:endParaRPr lang="en-IN" sz="1400">
            <a:effectLst/>
          </a:endParaRPr>
        </a:p>
        <a:p>
          <a:pPr algn="ctr"/>
          <a:endParaRPr lang="en-IN" sz="1400" b="1"/>
        </a:p>
      </xdr:txBody>
    </xdr:sp>
    <xdr:clientData/>
  </xdr:twoCellAnchor>
  <xdr:twoCellAnchor>
    <xdr:from>
      <xdr:col>6</xdr:col>
      <xdr:colOff>609600</xdr:colOff>
      <xdr:row>5</xdr:row>
      <xdr:rowOff>104775</xdr:rowOff>
    </xdr:from>
    <xdr:to>
      <xdr:col>10</xdr:col>
      <xdr:colOff>276225</xdr:colOff>
      <xdr:row>9</xdr:row>
      <xdr:rowOff>76200</xdr:rowOff>
    </xdr:to>
    <xdr:sp macro="" textlink="">
      <xdr:nvSpPr>
        <xdr:cNvPr id="8" name="Rounded Rectangle 7"/>
        <xdr:cNvSpPr/>
      </xdr:nvSpPr>
      <xdr:spPr>
        <a:xfrm>
          <a:off x="4724400" y="1009650"/>
          <a:ext cx="2409825" cy="695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352425</xdr:colOff>
      <xdr:row>5</xdr:row>
      <xdr:rowOff>114300</xdr:rowOff>
    </xdr:from>
    <xdr:to>
      <xdr:col>17</xdr:col>
      <xdr:colOff>628650</xdr:colOff>
      <xdr:row>9</xdr:row>
      <xdr:rowOff>104775</xdr:rowOff>
    </xdr:to>
    <xdr:sp macro="" textlink="">
      <xdr:nvSpPr>
        <xdr:cNvPr id="9" name="Rounded Rectangle 8"/>
        <xdr:cNvSpPr/>
      </xdr:nvSpPr>
      <xdr:spPr>
        <a:xfrm>
          <a:off x="9953625" y="1019175"/>
          <a:ext cx="2333625" cy="714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342899</xdr:colOff>
      <xdr:row>5</xdr:row>
      <xdr:rowOff>123825</xdr:rowOff>
    </xdr:from>
    <xdr:to>
      <xdr:col>13</xdr:col>
      <xdr:colOff>619124</xdr:colOff>
      <xdr:row>9</xdr:row>
      <xdr:rowOff>104775</xdr:rowOff>
    </xdr:to>
    <xdr:sp macro="" textlink="">
      <xdr:nvSpPr>
        <xdr:cNvPr id="10" name="Rounded Rectangle 9"/>
        <xdr:cNvSpPr/>
      </xdr:nvSpPr>
      <xdr:spPr>
        <a:xfrm>
          <a:off x="7200899" y="1028700"/>
          <a:ext cx="2333625" cy="7048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266700</xdr:colOff>
      <xdr:row>6</xdr:row>
      <xdr:rowOff>47625</xdr:rowOff>
    </xdr:from>
    <xdr:to>
      <xdr:col>9</xdr:col>
      <xdr:colOff>647700</xdr:colOff>
      <xdr:row>8</xdr:row>
      <xdr:rowOff>171450</xdr:rowOff>
    </xdr:to>
    <xdr:sp macro="" textlink="">
      <xdr:nvSpPr>
        <xdr:cNvPr id="12" name="TextBox 11"/>
        <xdr:cNvSpPr txBox="1"/>
      </xdr:nvSpPr>
      <xdr:spPr>
        <a:xfrm>
          <a:off x="5067300" y="1133475"/>
          <a:ext cx="1752600" cy="4857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Total Actual Cost</a:t>
          </a:r>
          <a:r>
            <a:rPr lang="en-IN" sz="1400" b="1"/>
            <a:t> </a:t>
          </a:r>
        </a:p>
        <a:p>
          <a:pPr algn="ctr"/>
          <a:r>
            <a:rPr lang="en-IN" sz="1200" b="1" i="0">
              <a:solidFill>
                <a:schemeClr val="dk1"/>
              </a:solidFill>
              <a:effectLst/>
              <a:latin typeface="+mn-lt"/>
              <a:ea typeface="+mn-ea"/>
              <a:cs typeface="+mn-cs"/>
            </a:rPr>
            <a:t>$  83,40,291 </a:t>
          </a:r>
          <a:endParaRPr lang="en-IN" sz="1200" b="1"/>
        </a:p>
      </xdr:txBody>
    </xdr:sp>
    <xdr:clientData/>
  </xdr:twoCellAnchor>
  <xdr:twoCellAnchor>
    <xdr:from>
      <xdr:col>10</xdr:col>
      <xdr:colOff>438150</xdr:colOff>
      <xdr:row>5</xdr:row>
      <xdr:rowOff>171450</xdr:rowOff>
    </xdr:from>
    <xdr:to>
      <xdr:col>13</xdr:col>
      <xdr:colOff>476250</xdr:colOff>
      <xdr:row>9</xdr:row>
      <xdr:rowOff>19050</xdr:rowOff>
    </xdr:to>
    <xdr:sp macro="" textlink="">
      <xdr:nvSpPr>
        <xdr:cNvPr id="13" name="TextBox 12"/>
        <xdr:cNvSpPr txBox="1"/>
      </xdr:nvSpPr>
      <xdr:spPr>
        <a:xfrm>
          <a:off x="7296150" y="1076325"/>
          <a:ext cx="2095500" cy="5715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u="none" strike="noStrike">
              <a:solidFill>
                <a:schemeClr val="dk1"/>
              </a:solidFill>
              <a:effectLst/>
              <a:latin typeface="+mn-lt"/>
              <a:ea typeface="+mn-ea"/>
              <a:cs typeface="+mn-cs"/>
            </a:rPr>
            <a:t>Budget Variance</a:t>
          </a:r>
          <a:r>
            <a:rPr lang="en-IN" sz="1400" b="1"/>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i="0">
              <a:solidFill>
                <a:schemeClr val="dk1"/>
              </a:solidFill>
              <a:effectLst/>
              <a:latin typeface="+mn-lt"/>
              <a:ea typeface="+mn-ea"/>
              <a:cs typeface="+mn-cs"/>
            </a:rPr>
            <a:t>$  4,87,254 </a:t>
          </a:r>
          <a:endParaRPr lang="en-IN" sz="1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                    </a:t>
          </a:r>
          <a:r>
            <a:rPr lang="en-IN" sz="1400" b="1" i="0" u="none" strike="noStrike">
              <a:solidFill>
                <a:schemeClr val="dk1"/>
              </a:solidFill>
              <a:effectLst/>
              <a:latin typeface="+mn-lt"/>
              <a:ea typeface="+mn-ea"/>
              <a:cs typeface="+mn-cs"/>
            </a:rPr>
            <a:t>        </a:t>
          </a:r>
          <a:endParaRPr lang="en-IN" sz="1400" b="1"/>
        </a:p>
      </xdr:txBody>
    </xdr:sp>
    <xdr:clientData/>
  </xdr:twoCellAnchor>
  <xdr:twoCellAnchor>
    <xdr:from>
      <xdr:col>14</xdr:col>
      <xdr:colOff>485775</xdr:colOff>
      <xdr:row>6</xdr:row>
      <xdr:rowOff>19051</xdr:rowOff>
    </xdr:from>
    <xdr:to>
      <xdr:col>17</xdr:col>
      <xdr:colOff>552450</xdr:colOff>
      <xdr:row>9</xdr:row>
      <xdr:rowOff>1</xdr:rowOff>
    </xdr:to>
    <xdr:sp macro="" textlink="">
      <xdr:nvSpPr>
        <xdr:cNvPr id="14" name="TextBox 13"/>
        <xdr:cNvSpPr txBox="1"/>
      </xdr:nvSpPr>
      <xdr:spPr>
        <a:xfrm>
          <a:off x="10086975" y="1104901"/>
          <a:ext cx="2124075" cy="5238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 Average Progress</a:t>
          </a:r>
          <a:r>
            <a:rPr lang="en-IN" sz="1400" b="1"/>
            <a:t>                           </a:t>
          </a:r>
          <a:r>
            <a:rPr lang="en-IN" sz="1400" b="1" i="0" u="none" strike="noStrike">
              <a:solidFill>
                <a:schemeClr val="dk1"/>
              </a:solidFill>
              <a:effectLst/>
              <a:latin typeface="+mn-lt"/>
              <a:ea typeface="+mn-ea"/>
              <a:cs typeface="+mn-cs"/>
            </a:rPr>
            <a:t>43.75%</a:t>
          </a:r>
          <a:r>
            <a:rPr lang="en-IN" sz="1400" b="1"/>
            <a:t> </a:t>
          </a:r>
        </a:p>
      </xdr:txBody>
    </xdr:sp>
    <xdr:clientData/>
  </xdr:twoCellAnchor>
  <xdr:twoCellAnchor>
    <xdr:from>
      <xdr:col>20</xdr:col>
      <xdr:colOff>581025</xdr:colOff>
      <xdr:row>6</xdr:row>
      <xdr:rowOff>171449</xdr:rowOff>
    </xdr:from>
    <xdr:to>
      <xdr:col>24</xdr:col>
      <xdr:colOff>171450</xdr:colOff>
      <xdr:row>10</xdr:row>
      <xdr:rowOff>171450</xdr:rowOff>
    </xdr:to>
    <xdr:sp macro="" textlink="">
      <xdr:nvSpPr>
        <xdr:cNvPr id="16" name="Rounded Rectangle 15"/>
        <xdr:cNvSpPr/>
      </xdr:nvSpPr>
      <xdr:spPr>
        <a:xfrm>
          <a:off x="14297025" y="1257299"/>
          <a:ext cx="2333625" cy="7239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533400</xdr:colOff>
      <xdr:row>1</xdr:row>
      <xdr:rowOff>114300</xdr:rowOff>
    </xdr:from>
    <xdr:to>
      <xdr:col>24</xdr:col>
      <xdr:colOff>200025</xdr:colOff>
      <xdr:row>5</xdr:row>
      <xdr:rowOff>142875</xdr:rowOff>
    </xdr:to>
    <xdr:sp macro="" textlink="">
      <xdr:nvSpPr>
        <xdr:cNvPr id="17" name="Rounded Rectangle 16"/>
        <xdr:cNvSpPr/>
      </xdr:nvSpPr>
      <xdr:spPr>
        <a:xfrm>
          <a:off x="14249400" y="295275"/>
          <a:ext cx="2409825" cy="752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581025</xdr:colOff>
      <xdr:row>2</xdr:row>
      <xdr:rowOff>19050</xdr:rowOff>
    </xdr:from>
    <xdr:to>
      <xdr:col>24</xdr:col>
      <xdr:colOff>142875</xdr:colOff>
      <xdr:row>5</xdr:row>
      <xdr:rowOff>28575</xdr:rowOff>
    </xdr:to>
    <xdr:sp macro="" textlink="">
      <xdr:nvSpPr>
        <xdr:cNvPr id="18" name="TextBox 17"/>
        <xdr:cNvSpPr txBox="1"/>
      </xdr:nvSpPr>
      <xdr:spPr>
        <a:xfrm>
          <a:off x="14297025" y="381000"/>
          <a:ext cx="2305050" cy="5524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Average Duration </a:t>
          </a:r>
          <a:r>
            <a:rPr lang="en-IN" sz="1400" b="1"/>
            <a:t> </a:t>
          </a:r>
          <a:r>
            <a:rPr lang="en-IN" sz="1100" b="0" i="0" u="none" strike="noStrike" baseline="0">
              <a:solidFill>
                <a:schemeClr val="dk1"/>
              </a:solidFill>
              <a:effectLst/>
              <a:latin typeface="+mn-lt"/>
              <a:ea typeface="+mn-ea"/>
              <a:cs typeface="+mn-cs"/>
            </a:rPr>
            <a:t>          </a:t>
          </a:r>
          <a:r>
            <a:rPr lang="en-IN" sz="1400" b="1"/>
            <a:t>  </a:t>
          </a:r>
          <a:r>
            <a:rPr lang="en-IN" sz="1200" b="1" i="0" u="none" strike="noStrike">
              <a:solidFill>
                <a:schemeClr val="dk1"/>
              </a:solidFill>
              <a:effectLst/>
              <a:latin typeface="+mn-lt"/>
              <a:ea typeface="+mn-ea"/>
              <a:cs typeface="+mn-cs"/>
            </a:rPr>
            <a:t>7</a:t>
          </a:r>
          <a:endParaRPr lang="en-IN" sz="1200" b="1"/>
        </a:p>
      </xdr:txBody>
    </xdr:sp>
    <xdr:clientData/>
  </xdr:twoCellAnchor>
  <xdr:twoCellAnchor>
    <xdr:from>
      <xdr:col>21</xdr:col>
      <xdr:colOff>0</xdr:colOff>
      <xdr:row>7</xdr:row>
      <xdr:rowOff>95249</xdr:rowOff>
    </xdr:from>
    <xdr:to>
      <xdr:col>24</xdr:col>
      <xdr:colOff>66675</xdr:colOff>
      <xdr:row>10</xdr:row>
      <xdr:rowOff>66675</xdr:rowOff>
    </xdr:to>
    <xdr:sp macro="" textlink="">
      <xdr:nvSpPr>
        <xdr:cNvPr id="19" name="TextBox 18"/>
        <xdr:cNvSpPr txBox="1"/>
      </xdr:nvSpPr>
      <xdr:spPr>
        <a:xfrm>
          <a:off x="14401800" y="1362074"/>
          <a:ext cx="2124075" cy="514351"/>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completed tasks</a:t>
          </a:r>
          <a:r>
            <a:rPr lang="en-IN" sz="1400" b="1"/>
            <a:t> </a:t>
          </a:r>
        </a:p>
        <a:p>
          <a:pPr algn="ctr"/>
          <a:r>
            <a:rPr lang="en-IN" sz="1400" b="1"/>
            <a:t>3</a:t>
          </a:r>
        </a:p>
        <a:p>
          <a:pPr algn="ctr"/>
          <a:endParaRPr lang="en-IN" sz="1400" b="1"/>
        </a:p>
      </xdr:txBody>
    </xdr:sp>
    <xdr:clientData/>
  </xdr:twoCellAnchor>
  <xdr:twoCellAnchor>
    <xdr:from>
      <xdr:col>7</xdr:col>
      <xdr:colOff>304800</xdr:colOff>
      <xdr:row>9</xdr:row>
      <xdr:rowOff>161924</xdr:rowOff>
    </xdr:from>
    <xdr:to>
      <xdr:col>13</xdr:col>
      <xdr:colOff>295275</xdr:colOff>
      <xdr:row>22</xdr:row>
      <xdr:rowOff>28574</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447674</xdr:colOff>
      <xdr:row>10</xdr:row>
      <xdr:rowOff>0</xdr:rowOff>
    </xdr:from>
    <xdr:to>
      <xdr:col>20</xdr:col>
      <xdr:colOff>190499</xdr:colOff>
      <xdr:row>21</xdr:row>
      <xdr:rowOff>104775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219075</xdr:colOff>
      <xdr:row>22</xdr:row>
      <xdr:rowOff>123825</xdr:rowOff>
    </xdr:from>
    <xdr:to>
      <xdr:col>19</xdr:col>
      <xdr:colOff>38101</xdr:colOff>
      <xdr:row>37</xdr:row>
      <xdr:rowOff>104776</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142876</xdr:colOff>
      <xdr:row>22</xdr:row>
      <xdr:rowOff>95250</xdr:rowOff>
    </xdr:from>
    <xdr:to>
      <xdr:col>27</xdr:col>
      <xdr:colOff>76200</xdr:colOff>
      <xdr:row>37</xdr:row>
      <xdr:rowOff>142875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238125</xdr:colOff>
      <xdr:row>9</xdr:row>
      <xdr:rowOff>76200</xdr:rowOff>
    </xdr:from>
    <xdr:to>
      <xdr:col>3</xdr:col>
      <xdr:colOff>9525</xdr:colOff>
      <xdr:row>19</xdr:row>
      <xdr:rowOff>104775</xdr:rowOff>
    </xdr:to>
    <mc:AlternateContent xmlns:mc="http://schemas.openxmlformats.org/markup-compatibility/2006">
      <mc:Choice xmlns:a14="http://schemas.microsoft.com/office/drawing/2010/main" Requires="a14">
        <xdr:graphicFrame macro="">
          <xdr:nvGraphicFramePr>
            <xdr:cNvPr id="24" name="Start Date 1"/>
            <xdr:cNvGraphicFramePr/>
          </xdr:nvGraphicFramePr>
          <xdr:xfrm>
            <a:off x="0" y="0"/>
            <a:ext cx="0" cy="0"/>
          </xdr:xfrm>
          <a:graphic>
            <a:graphicData uri="http://schemas.microsoft.com/office/drawing/2010/slicer">
              <sle:slicer xmlns:sle="http://schemas.microsoft.com/office/drawing/2010/slicer" name="Start Date 1"/>
            </a:graphicData>
          </a:graphic>
        </xdr:graphicFrame>
      </mc:Choice>
      <mc:Fallback>
        <xdr:sp macro="" textlink="">
          <xdr:nvSpPr>
            <xdr:cNvPr id="0" name=""/>
            <xdr:cNvSpPr>
              <a:spLocks noTextEdit="1"/>
            </xdr:cNvSpPr>
          </xdr:nvSpPr>
          <xdr:spPr>
            <a:xfrm>
              <a:off x="238125" y="1704975"/>
              <a:ext cx="1828800"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xdr:colOff>
      <xdr:row>9</xdr:row>
      <xdr:rowOff>95250</xdr:rowOff>
    </xdr:from>
    <xdr:to>
      <xdr:col>5</xdr:col>
      <xdr:colOff>466725</xdr:colOff>
      <xdr:row>19</xdr:row>
      <xdr:rowOff>47625</xdr:rowOff>
    </xdr:to>
    <mc:AlternateContent xmlns:mc="http://schemas.openxmlformats.org/markup-compatibility/2006">
      <mc:Choice xmlns:a14="http://schemas.microsoft.com/office/drawing/2010/main" Requires="a14">
        <xdr:graphicFrame macro="">
          <xdr:nvGraphicFramePr>
            <xdr:cNvPr id="25" name="Duration 1"/>
            <xdr:cNvGraphicFramePr/>
          </xdr:nvGraphicFramePr>
          <xdr:xfrm>
            <a:off x="0" y="0"/>
            <a:ext cx="0" cy="0"/>
          </xdr:xfrm>
          <a:graphic>
            <a:graphicData uri="http://schemas.microsoft.com/office/drawing/2010/slicer">
              <sle:slicer xmlns:sle="http://schemas.microsoft.com/office/drawing/2010/slicer" name="Duration 1"/>
            </a:graphicData>
          </a:graphic>
        </xdr:graphicFrame>
      </mc:Choice>
      <mc:Fallback>
        <xdr:sp macro="" textlink="">
          <xdr:nvSpPr>
            <xdr:cNvPr id="0" name=""/>
            <xdr:cNvSpPr>
              <a:spLocks noTextEdit="1"/>
            </xdr:cNvSpPr>
          </xdr:nvSpPr>
          <xdr:spPr>
            <a:xfrm>
              <a:off x="2066925" y="1724025"/>
              <a:ext cx="1828800"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19</xdr:row>
      <xdr:rowOff>66676</xdr:rowOff>
    </xdr:from>
    <xdr:to>
      <xdr:col>2</xdr:col>
      <xdr:colOff>676275</xdr:colOff>
      <xdr:row>26</xdr:row>
      <xdr:rowOff>152401</xdr:rowOff>
    </xdr:to>
    <mc:AlternateContent xmlns:mc="http://schemas.openxmlformats.org/markup-compatibility/2006">
      <mc:Choice xmlns:a14="http://schemas.microsoft.com/office/drawing/2010/main" Requires="a14">
        <xdr:graphicFrame macro="">
          <xdr:nvGraphicFramePr>
            <xdr:cNvPr id="26" name="Progress 1"/>
            <xdr:cNvGraphicFramePr/>
          </xdr:nvGraphicFramePr>
          <xdr:xfrm>
            <a:off x="0" y="0"/>
            <a:ext cx="0" cy="0"/>
          </xdr:xfrm>
          <a:graphic>
            <a:graphicData uri="http://schemas.microsoft.com/office/drawing/2010/slicer">
              <sle:slicer xmlns:sle="http://schemas.microsoft.com/office/drawing/2010/slicer" name="Progress 1"/>
            </a:graphicData>
          </a:graphic>
        </xdr:graphicFrame>
      </mc:Choice>
      <mc:Fallback>
        <xdr:sp macro="" textlink="">
          <xdr:nvSpPr>
            <xdr:cNvPr id="0" name=""/>
            <xdr:cNvSpPr>
              <a:spLocks noTextEdit="1"/>
            </xdr:cNvSpPr>
          </xdr:nvSpPr>
          <xdr:spPr>
            <a:xfrm>
              <a:off x="219075" y="3505201"/>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26</xdr:row>
      <xdr:rowOff>171451</xdr:rowOff>
    </xdr:from>
    <xdr:to>
      <xdr:col>2</xdr:col>
      <xdr:colOff>676275</xdr:colOff>
      <xdr:row>36</xdr:row>
      <xdr:rowOff>95251</xdr:rowOff>
    </xdr:to>
    <mc:AlternateContent xmlns:mc="http://schemas.openxmlformats.org/markup-compatibility/2006">
      <mc:Choice xmlns:a14="http://schemas.microsoft.com/office/drawing/2010/main" Requires="a14">
        <xdr:graphicFrame macro="">
          <xdr:nvGraphicFramePr>
            <xdr:cNvPr id="27" name="Manager 1"/>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dr:sp macro="" textlink="">
          <xdr:nvSpPr>
            <xdr:cNvPr id="0" name=""/>
            <xdr:cNvSpPr>
              <a:spLocks noTextEdit="1"/>
            </xdr:cNvSpPr>
          </xdr:nvSpPr>
          <xdr:spPr>
            <a:xfrm>
              <a:off x="219075" y="4876801"/>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666750</xdr:colOff>
      <xdr:row>28</xdr:row>
      <xdr:rowOff>38101</xdr:rowOff>
    </xdr:from>
    <xdr:to>
      <xdr:col>5</xdr:col>
      <xdr:colOff>438150</xdr:colOff>
      <xdr:row>36</xdr:row>
      <xdr:rowOff>171451</xdr:rowOff>
    </xdr:to>
    <mc:AlternateContent xmlns:mc="http://schemas.openxmlformats.org/markup-compatibility/2006">
      <mc:Choice xmlns:a14="http://schemas.microsoft.com/office/drawing/2010/main" Requires="a14">
        <xdr:graphicFrame macro="">
          <xdr:nvGraphicFramePr>
            <xdr:cNvPr id="28" name="End Date 1"/>
            <xdr:cNvGraphicFramePr/>
          </xdr:nvGraphicFramePr>
          <xdr:xfrm>
            <a:off x="0" y="0"/>
            <a:ext cx="0" cy="0"/>
          </xdr:xfrm>
          <a:graphic>
            <a:graphicData uri="http://schemas.microsoft.com/office/drawing/2010/slicer">
              <sle:slicer xmlns:sle="http://schemas.microsoft.com/office/drawing/2010/slicer" name="End Date 1"/>
            </a:graphicData>
          </a:graphic>
        </xdr:graphicFrame>
      </mc:Choice>
      <mc:Fallback>
        <xdr:sp macro="" textlink="">
          <xdr:nvSpPr>
            <xdr:cNvPr id="0" name=""/>
            <xdr:cNvSpPr>
              <a:spLocks noTextEdit="1"/>
            </xdr:cNvSpPr>
          </xdr:nvSpPr>
          <xdr:spPr>
            <a:xfrm>
              <a:off x="2038350" y="5105401"/>
              <a:ext cx="1828800"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19</xdr:row>
      <xdr:rowOff>19051</xdr:rowOff>
    </xdr:from>
    <xdr:to>
      <xdr:col>5</xdr:col>
      <xdr:colOff>447675</xdr:colOff>
      <xdr:row>28</xdr:row>
      <xdr:rowOff>28576</xdr:rowOff>
    </xdr:to>
    <mc:AlternateContent xmlns:mc="http://schemas.openxmlformats.org/markup-compatibility/2006">
      <mc:Choice xmlns:a14="http://schemas.microsoft.com/office/drawing/2010/main" Requires="a14">
        <xdr:graphicFrame macro="">
          <xdr:nvGraphicFramePr>
            <xdr:cNvPr id="29" name="Project 1"/>
            <xdr:cNvGraphicFramePr/>
          </xdr:nvGraphicFramePr>
          <xdr:xfrm>
            <a:off x="0" y="0"/>
            <a:ext cx="0" cy="0"/>
          </xdr:xfrm>
          <a:graphic>
            <a:graphicData uri="http://schemas.microsoft.com/office/drawing/2010/slicer">
              <sle:slicer xmlns:sle="http://schemas.microsoft.com/office/drawing/2010/slicer" name="Project 1"/>
            </a:graphicData>
          </a:graphic>
        </xdr:graphicFrame>
      </mc:Choice>
      <mc:Fallback>
        <xdr:sp macro="" textlink="">
          <xdr:nvSpPr>
            <xdr:cNvPr id="0" name=""/>
            <xdr:cNvSpPr>
              <a:spLocks noTextEdit="1"/>
            </xdr:cNvSpPr>
          </xdr:nvSpPr>
          <xdr:spPr>
            <a:xfrm>
              <a:off x="2047875" y="3457576"/>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257174</xdr:colOff>
      <xdr:row>0</xdr:row>
      <xdr:rowOff>66675</xdr:rowOff>
    </xdr:from>
    <xdr:to>
      <xdr:col>8</xdr:col>
      <xdr:colOff>161923</xdr:colOff>
      <xdr:row>3</xdr:row>
      <xdr:rowOff>114299</xdr:rowOff>
    </xdr:to>
    <xdr:pic>
      <xdr:nvPicPr>
        <xdr:cNvPr id="30" name="Picture 29" descr="Historic Tax Credits in Baltimore - Baltimore Heritage"/>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57774" y="66675"/>
          <a:ext cx="590549" cy="5905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rust/Documents/project%20management%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ivot table"/>
      <sheetName val="dashboard"/>
      <sheetName val="project management project"/>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rust" refreshedDate="46211.789813194446" createdVersion="6" refreshedVersion="6" minRefreshableVersion="3" recordCount="40">
  <cacheSource type="worksheet">
    <worksheetSource name="Table1"/>
  </cacheSource>
  <cacheFields count="11">
    <cacheField name="Project" numFmtId="0">
      <sharedItems count="5">
        <s v="Gemini"/>
        <s v="Orion"/>
        <s v="Vega"/>
        <s v="Delta"/>
        <s v="Alpha"/>
      </sharedItems>
    </cacheField>
    <cacheField name="Task NO." numFmtId="2">
      <sharedItems count="10">
        <s v="Task 1"/>
        <s v="Task 2"/>
        <s v="Task 3"/>
        <s v="Task 4"/>
        <s v="Task 5"/>
        <s v="Task 6"/>
        <s v="Task 7"/>
        <s v="Task 8"/>
        <s v="Task 9"/>
        <s v="Task 10"/>
      </sharedItems>
    </cacheField>
    <cacheField name="Manager" numFmtId="0">
      <sharedItems count="5">
        <s v="Hirsch"/>
        <s v="Samora"/>
        <s v="McFay"/>
        <s v="Wood"/>
        <s v="Ladd"/>
      </sharedItems>
    </cacheField>
    <cacheField name="Start Date" numFmtId="14">
      <sharedItems containsSemiMixedTypes="0" containsNonDate="0" containsDate="1" containsString="0" minDate="2020-02-17T00:00:00" maxDate="2020-03-03T00:00:00" count="11">
        <d v="2020-02-17T00:00:00"/>
        <d v="2020-02-18T00:00:00"/>
        <d v="2020-02-21T00:00:00"/>
        <d v="2020-02-20T00:00:00"/>
        <d v="2020-02-24T00:00:00"/>
        <d v="2020-02-25T00:00:00"/>
        <d v="2020-02-27T00:00:00"/>
        <d v="2020-02-26T00:00:00"/>
        <d v="2020-02-28T00:00:00"/>
        <d v="2020-03-02T00:00:00"/>
        <d v="2020-02-19T00:00:00"/>
      </sharedItems>
      <fieldGroup par="10" base="3">
        <rangePr groupBy="days" startDate="2020-02-17T00:00:00" endDate="2020-03-03T00:00:00"/>
        <groupItems count="368">
          <s v="&lt;17-02-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3-2020"/>
        </groupItems>
      </fieldGroup>
    </cacheField>
    <cacheField name="Duration" numFmtId="1">
      <sharedItems containsSemiMixedTypes="0" containsString="0" containsNumber="1" containsInteger="1" minValue="3" maxValue="10" count="8">
        <n v="5"/>
        <n v="6"/>
        <n v="10"/>
        <n v="9"/>
        <n v="4"/>
        <n v="7"/>
        <n v="8"/>
        <n v="3"/>
      </sharedItems>
    </cacheField>
    <cacheField name="End Date" numFmtId="14">
      <sharedItems containsSemiMixedTypes="0" containsNonDate="0" containsDate="1" containsString="0" minDate="2020-02-19T00:00:00" maxDate="2020-03-14T00:00:00" count="15">
        <d v="2020-02-21T00:00:00"/>
        <d v="2020-02-24T00:00:00"/>
        <d v="2020-03-02T00:00:00"/>
        <d v="2020-03-04T00:00:00"/>
        <d v="2020-02-20T00:00:00"/>
        <d v="2020-02-27T00:00:00"/>
        <d v="2020-02-28T00:00:00"/>
        <d v="2020-03-05T00:00:00"/>
        <d v="2020-02-26T00:00:00"/>
        <d v="2020-03-06T00:00:00"/>
        <d v="2020-02-19T00:00:00"/>
        <d v="2020-03-03T00:00:00"/>
        <d v="2020-03-12T00:00:00"/>
        <d v="2020-03-13T00:00:00"/>
        <d v="2020-03-10T00:00:00"/>
      </sharedItems>
    </cacheField>
    <cacheField name="Days completed" numFmtId="3">
      <sharedItems containsSemiMixedTypes="0" containsString="0" containsNumber="1" containsInteger="1" minValue="0" maxValue="8"/>
    </cacheField>
    <cacheField name="Progress" numFmtId="9">
      <sharedItems containsSemiMixedTypes="0" containsString="0" containsNumber="1" minValue="0" maxValue="1" count="19">
        <n v="0.4"/>
        <n v="0.5"/>
        <n v="0.33333333333333331"/>
        <n v="0.25"/>
        <n v="0"/>
        <n v="0.42857142857142855"/>
        <n v="0.1111111111111111"/>
        <n v="1"/>
        <n v="0.44444444444444442"/>
        <n v="0.83333333333333337"/>
        <n v="0.8"/>
        <n v="0.2857142857142857"/>
        <n v="0.66666666666666663"/>
        <n v="0.88888888888888884"/>
        <n v="0.2"/>
        <n v="0.625"/>
        <n v="0.3"/>
        <n v="0.375"/>
        <n v="0.6"/>
      </sharedItems>
    </cacheField>
    <cacheField name="Budget" numFmtId="165">
      <sharedItems containsSemiMixedTypes="0" containsString="0" containsNumber="1" containsInteger="1" minValue="50000" maxValue="990000"/>
    </cacheField>
    <cacheField name="Actual" numFmtId="165">
      <sharedItems containsSemiMixedTypes="0" containsString="0" containsNumber="1" containsInteger="1" minValue="0" maxValue="807069"/>
    </cacheField>
    <cacheField name="Months" numFmtId="0" databaseField="0">
      <fieldGroup base="3">
        <rangePr groupBy="months" startDate="2020-02-17T00:00:00" endDate="2020-03-03T00:00:00"/>
        <groupItems count="14">
          <s v="&lt;17-02-2020"/>
          <s v="Jan"/>
          <s v="Feb"/>
          <s v="Mar"/>
          <s v="Apr"/>
          <s v="May"/>
          <s v="Jun"/>
          <s v="Jul"/>
          <s v="Aug"/>
          <s v="Sep"/>
          <s v="Oct"/>
          <s v="Nov"/>
          <s v="Dec"/>
          <s v="&gt;03-03-202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
  <r>
    <x v="0"/>
    <x v="0"/>
    <x v="0"/>
    <x v="0"/>
    <x v="0"/>
    <x v="0"/>
    <n v="2"/>
    <x v="0"/>
    <n v="218000"/>
    <n v="97337"/>
  </r>
  <r>
    <x v="0"/>
    <x v="1"/>
    <x v="1"/>
    <x v="0"/>
    <x v="1"/>
    <x v="1"/>
    <n v="3"/>
    <x v="1"/>
    <n v="393000"/>
    <n v="177440"/>
  </r>
  <r>
    <x v="0"/>
    <x v="2"/>
    <x v="2"/>
    <x v="1"/>
    <x v="2"/>
    <x v="2"/>
    <n v="4"/>
    <x v="0"/>
    <n v="86000"/>
    <n v="31046"/>
  </r>
  <r>
    <x v="0"/>
    <x v="3"/>
    <x v="3"/>
    <x v="2"/>
    <x v="3"/>
    <x v="3"/>
    <n v="3"/>
    <x v="2"/>
    <n v="732000"/>
    <n v="261324"/>
  </r>
  <r>
    <x v="0"/>
    <x v="4"/>
    <x v="4"/>
    <x v="0"/>
    <x v="4"/>
    <x v="4"/>
    <n v="1"/>
    <x v="3"/>
    <n v="492000"/>
    <n v="116850"/>
  </r>
  <r>
    <x v="0"/>
    <x v="5"/>
    <x v="0"/>
    <x v="3"/>
    <x v="1"/>
    <x v="5"/>
    <n v="0"/>
    <x v="4"/>
    <n v="188000"/>
    <n v="0"/>
  </r>
  <r>
    <x v="0"/>
    <x v="6"/>
    <x v="1"/>
    <x v="3"/>
    <x v="5"/>
    <x v="6"/>
    <n v="3"/>
    <x v="5"/>
    <n v="180000"/>
    <n v="79380"/>
  </r>
  <r>
    <x v="0"/>
    <x v="7"/>
    <x v="2"/>
    <x v="4"/>
    <x v="0"/>
    <x v="6"/>
    <n v="2"/>
    <x v="0"/>
    <n v="582000"/>
    <n v="195231"/>
  </r>
  <r>
    <x v="0"/>
    <x v="8"/>
    <x v="3"/>
    <x v="4"/>
    <x v="3"/>
    <x v="7"/>
    <n v="1"/>
    <x v="6"/>
    <n v="562000"/>
    <n v="74746"/>
  </r>
  <r>
    <x v="0"/>
    <x v="9"/>
    <x v="4"/>
    <x v="4"/>
    <x v="1"/>
    <x v="2"/>
    <n v="3"/>
    <x v="1"/>
    <n v="416000"/>
    <n v="175015"/>
  </r>
  <r>
    <x v="1"/>
    <x v="0"/>
    <x v="0"/>
    <x v="1"/>
    <x v="5"/>
    <x v="8"/>
    <n v="7"/>
    <x v="7"/>
    <n v="293000"/>
    <n v="273001"/>
  </r>
  <r>
    <x v="1"/>
    <x v="1"/>
    <x v="1"/>
    <x v="0"/>
    <x v="3"/>
    <x v="5"/>
    <n v="4"/>
    <x v="8"/>
    <n v="224000"/>
    <n v="57910"/>
  </r>
  <r>
    <x v="1"/>
    <x v="2"/>
    <x v="2"/>
    <x v="1"/>
    <x v="6"/>
    <x v="5"/>
    <n v="0"/>
    <x v="4"/>
    <n v="978000"/>
    <n v="0"/>
  </r>
  <r>
    <x v="1"/>
    <x v="3"/>
    <x v="3"/>
    <x v="3"/>
    <x v="5"/>
    <x v="6"/>
    <n v="3"/>
    <x v="5"/>
    <n v="932000"/>
    <n v="379157"/>
  </r>
  <r>
    <x v="1"/>
    <x v="4"/>
    <x v="4"/>
    <x v="2"/>
    <x v="4"/>
    <x v="8"/>
    <n v="1"/>
    <x v="3"/>
    <n v="854000"/>
    <n v="322812"/>
  </r>
  <r>
    <x v="1"/>
    <x v="5"/>
    <x v="0"/>
    <x v="2"/>
    <x v="1"/>
    <x v="6"/>
    <n v="3"/>
    <x v="1"/>
    <n v="81000"/>
    <n v="38461"/>
  </r>
  <r>
    <x v="1"/>
    <x v="6"/>
    <x v="1"/>
    <x v="4"/>
    <x v="1"/>
    <x v="2"/>
    <n v="5"/>
    <x v="9"/>
    <n v="169000"/>
    <n v="136468"/>
  </r>
  <r>
    <x v="1"/>
    <x v="7"/>
    <x v="2"/>
    <x v="5"/>
    <x v="4"/>
    <x v="6"/>
    <n v="1"/>
    <x v="3"/>
    <n v="61000"/>
    <n v="12078"/>
  </r>
  <r>
    <x v="1"/>
    <x v="8"/>
    <x v="3"/>
    <x v="6"/>
    <x v="5"/>
    <x v="9"/>
    <n v="3"/>
    <x v="5"/>
    <n v="645000"/>
    <n v="273048"/>
  </r>
  <r>
    <x v="1"/>
    <x v="9"/>
    <x v="4"/>
    <x v="0"/>
    <x v="7"/>
    <x v="10"/>
    <n v="3"/>
    <x v="7"/>
    <n v="68000"/>
    <n v="64987"/>
  </r>
  <r>
    <x v="2"/>
    <x v="0"/>
    <x v="0"/>
    <x v="0"/>
    <x v="2"/>
    <x v="6"/>
    <n v="5"/>
    <x v="1"/>
    <n v="839000"/>
    <n v="406974"/>
  </r>
  <r>
    <x v="2"/>
    <x v="1"/>
    <x v="1"/>
    <x v="2"/>
    <x v="0"/>
    <x v="5"/>
    <n v="4"/>
    <x v="10"/>
    <n v="729000"/>
    <n v="487139"/>
  </r>
  <r>
    <x v="2"/>
    <x v="2"/>
    <x v="2"/>
    <x v="4"/>
    <x v="5"/>
    <x v="11"/>
    <n v="3"/>
    <x v="5"/>
    <n v="826000"/>
    <n v="298186"/>
  </r>
  <r>
    <x v="2"/>
    <x v="3"/>
    <x v="3"/>
    <x v="7"/>
    <x v="5"/>
    <x v="7"/>
    <n v="2"/>
    <x v="11"/>
    <n v="895000"/>
    <n v="280583"/>
  </r>
  <r>
    <x v="2"/>
    <x v="4"/>
    <x v="4"/>
    <x v="8"/>
    <x v="7"/>
    <x v="11"/>
    <n v="2"/>
    <x v="12"/>
    <n v="341000"/>
    <n v="129785"/>
  </r>
  <r>
    <x v="3"/>
    <x v="0"/>
    <x v="0"/>
    <x v="9"/>
    <x v="3"/>
    <x v="12"/>
    <n v="8"/>
    <x v="13"/>
    <n v="787000"/>
    <n v="727188"/>
  </r>
  <r>
    <x v="3"/>
    <x v="1"/>
    <x v="1"/>
    <x v="9"/>
    <x v="2"/>
    <x v="13"/>
    <n v="2"/>
    <x v="14"/>
    <n v="228000"/>
    <n v="47880"/>
  </r>
  <r>
    <x v="3"/>
    <x v="2"/>
    <x v="2"/>
    <x v="0"/>
    <x v="4"/>
    <x v="4"/>
    <n v="0"/>
    <x v="4"/>
    <n v="147000"/>
    <n v="0"/>
  </r>
  <r>
    <x v="3"/>
    <x v="3"/>
    <x v="3"/>
    <x v="10"/>
    <x v="6"/>
    <x v="6"/>
    <n v="5"/>
    <x v="15"/>
    <n v="338000"/>
    <n v="205123"/>
  </r>
  <r>
    <x v="3"/>
    <x v="4"/>
    <x v="4"/>
    <x v="4"/>
    <x v="2"/>
    <x v="9"/>
    <n v="3"/>
    <x v="16"/>
    <n v="857000"/>
    <n v="305949"/>
  </r>
  <r>
    <x v="3"/>
    <x v="5"/>
    <x v="0"/>
    <x v="5"/>
    <x v="1"/>
    <x v="11"/>
    <n v="3"/>
    <x v="1"/>
    <n v="602000"/>
    <n v="322371"/>
  </r>
  <r>
    <x v="3"/>
    <x v="6"/>
    <x v="1"/>
    <x v="5"/>
    <x v="4"/>
    <x v="6"/>
    <n v="2"/>
    <x v="1"/>
    <n v="990000"/>
    <n v="451440"/>
  </r>
  <r>
    <x v="4"/>
    <x v="0"/>
    <x v="2"/>
    <x v="8"/>
    <x v="6"/>
    <x v="14"/>
    <n v="3"/>
    <x v="17"/>
    <n v="96000"/>
    <n v="32256"/>
  </r>
  <r>
    <x v="4"/>
    <x v="1"/>
    <x v="3"/>
    <x v="9"/>
    <x v="3"/>
    <x v="12"/>
    <n v="4"/>
    <x v="8"/>
    <n v="513000"/>
    <n v="226233"/>
  </r>
  <r>
    <x v="4"/>
    <x v="2"/>
    <x v="4"/>
    <x v="3"/>
    <x v="0"/>
    <x v="8"/>
    <n v="3"/>
    <x v="18"/>
    <n v="616000"/>
    <n v="401579"/>
  </r>
  <r>
    <x v="4"/>
    <x v="3"/>
    <x v="0"/>
    <x v="10"/>
    <x v="7"/>
    <x v="0"/>
    <n v="3"/>
    <x v="7"/>
    <n v="817000"/>
    <n v="807069"/>
  </r>
  <r>
    <x v="4"/>
    <x v="4"/>
    <x v="1"/>
    <x v="2"/>
    <x v="5"/>
    <x v="2"/>
    <n v="3"/>
    <x v="5"/>
    <n v="372000"/>
    <n v="173166"/>
  </r>
  <r>
    <x v="4"/>
    <x v="5"/>
    <x v="2"/>
    <x v="4"/>
    <x v="2"/>
    <x v="9"/>
    <n v="2"/>
    <x v="14"/>
    <n v="50000"/>
    <n v="8400"/>
  </r>
  <r>
    <x v="4"/>
    <x v="6"/>
    <x v="3"/>
    <x v="4"/>
    <x v="2"/>
    <x v="9"/>
    <n v="3"/>
    <x v="16"/>
    <n v="807000"/>
    <n v="262679"/>
  </r>
  <r>
    <x v="4"/>
    <x v="7"/>
    <x v="4"/>
    <x v="4"/>
    <x v="7"/>
    <x v="8"/>
    <n v="0"/>
    <x v="4"/>
    <n v="6910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27:B33" firstHeaderRow="1" firstDataRow="1" firstDataCol="1"/>
  <pivotFields count="11">
    <pivotField axis="axisRow" showAll="0">
      <items count="6">
        <item x="4"/>
        <item x="3"/>
        <item x="0"/>
        <item x="1"/>
        <item x="2"/>
        <item t="default"/>
      </items>
    </pivotField>
    <pivotField showAll="0">
      <items count="11">
        <item x="0"/>
        <item x="9"/>
        <item x="1"/>
        <item x="2"/>
        <item x="3"/>
        <item x="4"/>
        <item x="5"/>
        <item x="6"/>
        <item x="7"/>
        <item x="8"/>
        <item t="default"/>
      </items>
    </pivotField>
    <pivotField showAll="0">
      <items count="6">
        <item x="0"/>
        <item x="4"/>
        <item x="2"/>
        <item x="1"/>
        <item x="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 showAll="0">
      <items count="9">
        <item x="7"/>
        <item x="4"/>
        <item x="0"/>
        <item x="1"/>
        <item x="5"/>
        <item x="6"/>
        <item x="3"/>
        <item x="2"/>
        <item t="default"/>
      </items>
    </pivotField>
    <pivotField numFmtId="14" showAll="0">
      <items count="16">
        <item x="10"/>
        <item x="4"/>
        <item x="0"/>
        <item x="1"/>
        <item x="8"/>
        <item x="5"/>
        <item x="6"/>
        <item x="2"/>
        <item x="11"/>
        <item x="3"/>
        <item x="7"/>
        <item x="9"/>
        <item x="14"/>
        <item x="12"/>
        <item x="13"/>
        <item t="default"/>
      </items>
    </pivotField>
    <pivotField numFmtId="3" showAll="0"/>
    <pivotField dataField="1" numFmtId="9" showAll="0">
      <items count="20">
        <item x="4"/>
        <item x="6"/>
        <item x="14"/>
        <item x="3"/>
        <item x="11"/>
        <item x="16"/>
        <item x="2"/>
        <item x="17"/>
        <item x="0"/>
        <item x="5"/>
        <item x="8"/>
        <item x="1"/>
        <item x="18"/>
        <item x="15"/>
        <item x="12"/>
        <item x="10"/>
        <item x="9"/>
        <item x="13"/>
        <item x="7"/>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6">
    <i>
      <x/>
    </i>
    <i>
      <x v="1"/>
    </i>
    <i>
      <x v="2"/>
    </i>
    <i>
      <x v="3"/>
    </i>
    <i>
      <x v="4"/>
    </i>
    <i t="grand">
      <x/>
    </i>
  </rowItems>
  <colItems count="1">
    <i/>
  </colItems>
  <dataFields count="1">
    <dataField name="Average of Progress" fld="7" subtotal="average" baseField="0" baseItem="457435424" numFmtId="2"/>
  </dataFields>
  <formats count="23">
    <format dxfId="78">
      <pivotArea outline="0" collapsedLevelsAreSubtotals="1" fieldPosition="0"/>
    </format>
    <format dxfId="79">
      <pivotArea outline="0" collapsedLevelsAreSubtotals="1" fieldPosition="0"/>
    </format>
    <format dxfId="80">
      <pivotArea outline="0" collapsedLevelsAreSubtotals="1" fieldPosition="0"/>
    </format>
    <format dxfId="81">
      <pivotArea type="all" dataOnly="0" outline="0" fieldPosition="0"/>
    </format>
    <format dxfId="82">
      <pivotArea outline="0" collapsedLevelsAreSubtotals="1" fieldPosition="0"/>
    </format>
    <format dxfId="83">
      <pivotArea dataOnly="0" labelOnly="1" outline="0" axis="axisValues" fieldPosition="0"/>
    </format>
    <format dxfId="84">
      <pivotArea dataOnly="0" labelOnly="1" outline="0" axis="axisValues" fieldPosition="0"/>
    </format>
    <format dxfId="85">
      <pivotArea type="all" dataOnly="0" outline="0" fieldPosition="0"/>
    </format>
    <format dxfId="86">
      <pivotArea outline="0" collapsedLevelsAreSubtotals="1" fieldPosition="0"/>
    </format>
    <format dxfId="87">
      <pivotArea dataOnly="0" labelOnly="1" outline="0" axis="axisValues" fieldPosition="0"/>
    </format>
    <format dxfId="88">
      <pivotArea dataOnly="0" labelOnly="1" outline="0" axis="axisValues" fieldPosition="0"/>
    </format>
    <format dxfId="89">
      <pivotArea type="all" dataOnly="0" outline="0" fieldPosition="0"/>
    </format>
    <format dxfId="90">
      <pivotArea outline="0" collapsedLevelsAreSubtotals="1" fieldPosition="0"/>
    </format>
    <format dxfId="91">
      <pivotArea dataOnly="0" labelOnly="1" outline="0" axis="axisValues" fieldPosition="0"/>
    </format>
    <format dxfId="92">
      <pivotArea dataOnly="0" labelOnly="1" outline="0" axis="axisValues" fieldPosition="0"/>
    </format>
    <format dxfId="93">
      <pivotArea type="all" dataOnly="0" outline="0" fieldPosition="0"/>
    </format>
    <format dxfId="94">
      <pivotArea outline="0" collapsedLevelsAreSubtotals="1" fieldPosition="0"/>
    </format>
    <format dxfId="95">
      <pivotArea dataOnly="0" labelOnly="1" outline="0" axis="axisValues" fieldPosition="0"/>
    </format>
    <format dxfId="96">
      <pivotArea dataOnly="0" labelOnly="1" outline="0" axis="axisValues" fieldPosition="0"/>
    </format>
    <format dxfId="97">
      <pivotArea type="all" dataOnly="0" outline="0" fieldPosition="0"/>
    </format>
    <format dxfId="98">
      <pivotArea outline="0" collapsedLevelsAreSubtotals="1" fieldPosition="0"/>
    </format>
    <format dxfId="99">
      <pivotArea dataOnly="0" labelOnly="1" outline="0" axis="axisValues" fieldPosition="0"/>
    </format>
    <format dxfId="100">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K3:L4" firstHeaderRow="0" firstDataRow="1" firstDataCol="0"/>
  <pivotFields count="11">
    <pivotField showAll="0">
      <items count="6">
        <item x="4"/>
        <item x="3"/>
        <item x="0"/>
        <item x="1"/>
        <item x="2"/>
        <item t="default"/>
      </items>
    </pivotField>
    <pivotField showAll="0">
      <items count="11">
        <item x="0"/>
        <item x="9"/>
        <item x="1"/>
        <item x="2"/>
        <item x="3"/>
        <item x="4"/>
        <item x="5"/>
        <item x="6"/>
        <item x="7"/>
        <item x="8"/>
        <item t="default"/>
      </items>
    </pivotField>
    <pivotField showAll="0">
      <items count="6">
        <item x="0"/>
        <item x="4"/>
        <item x="2"/>
        <item x="1"/>
        <item x="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 showAll="0">
      <items count="9">
        <item x="7"/>
        <item x="4"/>
        <item x="0"/>
        <item x="1"/>
        <item x="5"/>
        <item x="6"/>
        <item x="3"/>
        <item x="2"/>
        <item t="default"/>
      </items>
    </pivotField>
    <pivotField numFmtId="14" showAll="0">
      <items count="16">
        <item x="10"/>
        <item x="4"/>
        <item x="0"/>
        <item x="1"/>
        <item x="8"/>
        <item x="5"/>
        <item x="6"/>
        <item x="2"/>
        <item x="11"/>
        <item x="3"/>
        <item x="7"/>
        <item x="9"/>
        <item x="14"/>
        <item x="12"/>
        <item x="13"/>
        <item t="default"/>
      </items>
    </pivotField>
    <pivotField numFmtId="3" showAll="0"/>
    <pivotField numFmtId="9" showAll="0">
      <items count="20">
        <item x="4"/>
        <item x="6"/>
        <item x="14"/>
        <item x="3"/>
        <item x="11"/>
        <item x="16"/>
        <item x="2"/>
        <item x="17"/>
        <item x="0"/>
        <item x="5"/>
        <item x="8"/>
        <item x="1"/>
        <item x="18"/>
        <item x="15"/>
        <item x="12"/>
        <item x="10"/>
        <item x="9"/>
        <item x="13"/>
        <item x="7"/>
        <item t="default"/>
      </items>
    </pivotField>
    <pivotField dataField="1" numFmtId="165" showAll="0"/>
    <pivotField dataField="1" numFmtId="165"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Fields count="1">
    <field x="-2"/>
  </colFields>
  <colItems count="2">
    <i>
      <x/>
    </i>
    <i i="1">
      <x v="1"/>
    </i>
  </colItems>
  <dataFields count="2">
    <dataField name="Sum of Budget" fld="8" baseField="0" baseItem="0"/>
    <dataField name="Sum of Actual" fld="9" baseField="0" baseItem="0"/>
  </dataFields>
  <formats count="3">
    <format dxfId="101">
      <pivotArea outline="0" collapsedLevelsAreSubtotals="1" fieldPosition="0"/>
    </format>
    <format dxfId="102">
      <pivotArea outline="0" collapsedLevelsAreSubtotals="1" fieldPosition="0"/>
    </format>
    <format dxfId="103">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7:J37" firstHeaderRow="1" firstDataRow="1" firstDataCol="1"/>
  <pivotFields count="11">
    <pivotField showAll="0">
      <items count="6">
        <item x="4"/>
        <item x="3"/>
        <item x="0"/>
        <item x="1"/>
        <item x="2"/>
        <item t="default"/>
      </items>
    </pivotField>
    <pivotField dataField="1" showAll="0">
      <items count="11">
        <item x="0"/>
        <item x="9"/>
        <item x="1"/>
        <item x="2"/>
        <item x="3"/>
        <item x="4"/>
        <item x="5"/>
        <item x="6"/>
        <item x="7"/>
        <item x="8"/>
        <item t="default"/>
      </items>
    </pivotField>
    <pivotField showAll="0">
      <items count="6">
        <item x="0"/>
        <item x="4"/>
        <item x="2"/>
        <item x="1"/>
        <item x="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 showAll="0">
      <items count="9">
        <item x="7"/>
        <item x="4"/>
        <item x="0"/>
        <item x="1"/>
        <item x="5"/>
        <item x="6"/>
        <item x="3"/>
        <item x="2"/>
        <item t="default"/>
      </items>
    </pivotField>
    <pivotField numFmtId="14" showAll="0">
      <items count="16">
        <item x="10"/>
        <item x="4"/>
        <item x="0"/>
        <item x="1"/>
        <item x="8"/>
        <item x="5"/>
        <item x="6"/>
        <item x="2"/>
        <item x="11"/>
        <item x="3"/>
        <item x="7"/>
        <item x="9"/>
        <item x="14"/>
        <item x="12"/>
        <item x="13"/>
        <item t="default"/>
      </items>
    </pivotField>
    <pivotField numFmtId="3" showAll="0"/>
    <pivotField axis="axisRow" numFmtId="9" showAll="0">
      <items count="20">
        <item x="4"/>
        <item x="6"/>
        <item x="14"/>
        <item x="3"/>
        <item x="11"/>
        <item x="16"/>
        <item x="2"/>
        <item x="17"/>
        <item x="0"/>
        <item x="5"/>
        <item x="8"/>
        <item x="1"/>
        <item x="18"/>
        <item x="15"/>
        <item x="12"/>
        <item x="10"/>
        <item x="9"/>
        <item x="13"/>
        <item x="7"/>
        <item t="default"/>
      </items>
    </pivotField>
    <pivotField numFmtId="165" showAll="0"/>
    <pivotField numFmtId="165"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Task N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17:G20" firstHeaderRow="1" firstDataRow="1" firstDataCol="1"/>
  <pivotFields count="11">
    <pivotField showAll="0">
      <items count="6">
        <item x="4"/>
        <item x="3"/>
        <item x="0"/>
        <item x="1"/>
        <item x="2"/>
        <item t="default"/>
      </items>
    </pivotField>
    <pivotField dataField="1" showAll="0">
      <items count="11">
        <item x="0"/>
        <item x="9"/>
        <item x="1"/>
        <item x="2"/>
        <item x="3"/>
        <item x="4"/>
        <item x="5"/>
        <item x="6"/>
        <item x="7"/>
        <item x="8"/>
        <item t="default"/>
      </items>
    </pivotField>
    <pivotField showAll="0">
      <items count="6">
        <item x="0"/>
        <item x="4"/>
        <item x="2"/>
        <item x="1"/>
        <item x="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 showAll="0">
      <items count="9">
        <item x="7"/>
        <item x="4"/>
        <item x="0"/>
        <item x="1"/>
        <item x="5"/>
        <item x="6"/>
        <item x="3"/>
        <item x="2"/>
        <item t="default"/>
      </items>
    </pivotField>
    <pivotField numFmtId="14" showAll="0">
      <items count="16">
        <item x="10"/>
        <item x="4"/>
        <item x="0"/>
        <item x="1"/>
        <item x="8"/>
        <item x="5"/>
        <item x="6"/>
        <item x="2"/>
        <item x="11"/>
        <item x="3"/>
        <item x="7"/>
        <item x="9"/>
        <item x="14"/>
        <item x="12"/>
        <item x="13"/>
        <item t="default"/>
      </items>
    </pivotField>
    <pivotField numFmtId="3" showAll="0"/>
    <pivotField numFmtId="9" showAll="0">
      <items count="20">
        <item x="4"/>
        <item x="6"/>
        <item x="14"/>
        <item x="3"/>
        <item x="11"/>
        <item x="16"/>
        <item x="2"/>
        <item x="17"/>
        <item x="0"/>
        <item x="5"/>
        <item x="8"/>
        <item x="1"/>
        <item x="18"/>
        <item x="15"/>
        <item x="12"/>
        <item x="10"/>
        <item x="9"/>
        <item x="13"/>
        <item x="7"/>
        <item t="default"/>
      </items>
    </pivotField>
    <pivotField numFmtId="165" showAll="0"/>
    <pivotField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3">
    <i>
      <x v="2"/>
    </i>
    <i>
      <x v="3"/>
    </i>
    <i t="grand">
      <x/>
    </i>
  </rowItems>
  <colItems count="1">
    <i/>
  </colItems>
  <dataFields count="1">
    <dataField name="Count of Task N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B20" firstHeaderRow="1" firstDataRow="1" firstDataCol="1"/>
  <pivotFields count="11">
    <pivotField showAll="0">
      <items count="6">
        <item x="4"/>
        <item x="3"/>
        <item x="0"/>
        <item x="1"/>
        <item x="2"/>
        <item t="default"/>
      </items>
    </pivotField>
    <pivotField dataField="1" showAll="0">
      <items count="11">
        <item x="0"/>
        <item x="9"/>
        <item x="1"/>
        <item x="2"/>
        <item x="3"/>
        <item x="4"/>
        <item x="5"/>
        <item x="6"/>
        <item x="7"/>
        <item x="8"/>
        <item t="default"/>
      </items>
    </pivotField>
    <pivotField showAll="0">
      <items count="6">
        <item x="0"/>
        <item x="4"/>
        <item x="2"/>
        <item x="1"/>
        <item x="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 showAll="0">
      <items count="9">
        <item x="7"/>
        <item x="4"/>
        <item x="0"/>
        <item x="1"/>
        <item x="5"/>
        <item x="6"/>
        <item x="3"/>
        <item x="2"/>
        <item t="default"/>
      </items>
    </pivotField>
    <pivotField numFmtId="14" showAll="0">
      <items count="16">
        <item x="10"/>
        <item x="4"/>
        <item x="0"/>
        <item x="1"/>
        <item x="8"/>
        <item x="5"/>
        <item x="6"/>
        <item x="2"/>
        <item x="11"/>
        <item x="3"/>
        <item x="7"/>
        <item x="9"/>
        <item x="14"/>
        <item x="12"/>
        <item x="13"/>
        <item t="default"/>
      </items>
    </pivotField>
    <pivotField numFmtId="3" showAll="0"/>
    <pivotField numFmtId="9" showAll="0">
      <items count="20">
        <item x="4"/>
        <item x="6"/>
        <item x="14"/>
        <item x="3"/>
        <item x="11"/>
        <item x="16"/>
        <item x="2"/>
        <item x="17"/>
        <item x="0"/>
        <item x="5"/>
        <item x="8"/>
        <item x="1"/>
        <item x="18"/>
        <item x="15"/>
        <item x="12"/>
        <item x="10"/>
        <item x="9"/>
        <item x="13"/>
        <item x="7"/>
        <item t="default"/>
      </items>
    </pivotField>
    <pivotField numFmtId="165" showAll="0"/>
    <pivotField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3">
    <i>
      <x v="2"/>
    </i>
    <i>
      <x v="3"/>
    </i>
    <i t="grand">
      <x/>
    </i>
  </rowItems>
  <colItems count="1">
    <i/>
  </colItems>
  <dataFields count="1">
    <dataField name="Count of Task N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F3:I9" firstHeaderRow="0" firstDataRow="1" firstDataCol="1"/>
  <pivotFields count="11">
    <pivotField showAll="0">
      <items count="6">
        <item x="4"/>
        <item x="3"/>
        <item x="0"/>
        <item x="1"/>
        <item x="2"/>
        <item t="default"/>
      </items>
    </pivotField>
    <pivotField showAll="0"/>
    <pivotField axis="axisRow" showAll="0">
      <items count="6">
        <item x="0"/>
        <item x="4"/>
        <item x="2"/>
        <item x="1"/>
        <item x="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 showAll="0">
      <items count="9">
        <item x="7"/>
        <item x="4"/>
        <item x="0"/>
        <item x="1"/>
        <item x="5"/>
        <item x="6"/>
        <item x="3"/>
        <item x="2"/>
        <item t="default"/>
      </items>
    </pivotField>
    <pivotField numFmtId="14" showAll="0">
      <items count="16">
        <item x="10"/>
        <item x="4"/>
        <item x="0"/>
        <item x="1"/>
        <item x="8"/>
        <item x="5"/>
        <item x="6"/>
        <item x="2"/>
        <item x="11"/>
        <item x="3"/>
        <item x="7"/>
        <item x="9"/>
        <item x="14"/>
        <item x="12"/>
        <item x="13"/>
        <item t="default"/>
      </items>
    </pivotField>
    <pivotField numFmtId="3" showAll="0"/>
    <pivotField dataField="1" numFmtId="9" showAll="0">
      <items count="20">
        <item x="4"/>
        <item x="6"/>
        <item x="14"/>
        <item x="3"/>
        <item x="11"/>
        <item x="16"/>
        <item x="2"/>
        <item x="17"/>
        <item x="0"/>
        <item x="5"/>
        <item x="8"/>
        <item x="1"/>
        <item x="18"/>
        <item x="15"/>
        <item x="12"/>
        <item x="10"/>
        <item x="9"/>
        <item x="13"/>
        <item x="7"/>
        <item t="default"/>
      </items>
    </pivotField>
    <pivotField dataField="1" numFmtId="165" showAll="0"/>
    <pivotField dataField="1" numFmtId="165" showAl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Fields count="1">
    <field x="-2"/>
  </colFields>
  <colItems count="3">
    <i>
      <x/>
    </i>
    <i i="1">
      <x v="1"/>
    </i>
    <i i="2">
      <x v="2"/>
    </i>
  </colItems>
  <dataFields count="3">
    <dataField name="Sum of Budget" fld="8" baseField="0" baseItem="0"/>
    <dataField name="Average of Progress" fld="7" subtotal="average" baseField="0" baseItem="0"/>
    <dataField name="Sum of Actual" fld="9" baseField="0" baseItem="0"/>
  </dataField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D9" firstHeaderRow="0" firstDataRow="1" firstDataCol="1"/>
  <pivotFields count="11">
    <pivotField axis="axisRow" showAll="0">
      <items count="6">
        <item x="4"/>
        <item x="3"/>
        <item x="0"/>
        <item x="1"/>
        <item x="2"/>
        <item t="default"/>
      </items>
    </pivotField>
    <pivotField showAll="0"/>
    <pivotField showAll="0">
      <items count="6">
        <item x="0"/>
        <item x="4"/>
        <item x="2"/>
        <item x="1"/>
        <item x="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 showAll="0">
      <items count="9">
        <item x="7"/>
        <item x="4"/>
        <item x="0"/>
        <item x="1"/>
        <item x="5"/>
        <item x="6"/>
        <item x="3"/>
        <item x="2"/>
        <item t="default"/>
      </items>
    </pivotField>
    <pivotField numFmtId="14" showAll="0">
      <items count="16">
        <item x="10"/>
        <item x="4"/>
        <item x="0"/>
        <item x="1"/>
        <item x="8"/>
        <item x="5"/>
        <item x="6"/>
        <item x="2"/>
        <item x="11"/>
        <item x="3"/>
        <item x="7"/>
        <item x="9"/>
        <item x="14"/>
        <item x="12"/>
        <item x="13"/>
        <item t="default"/>
      </items>
    </pivotField>
    <pivotField numFmtId="3" showAll="0"/>
    <pivotField dataField="1" numFmtId="9" showAll="0">
      <items count="20">
        <item x="4"/>
        <item x="6"/>
        <item x="14"/>
        <item x="3"/>
        <item x="11"/>
        <item x="16"/>
        <item x="2"/>
        <item x="17"/>
        <item x="0"/>
        <item x="5"/>
        <item x="8"/>
        <item x="1"/>
        <item x="18"/>
        <item x="15"/>
        <item x="12"/>
        <item x="10"/>
        <item x="9"/>
        <item x="13"/>
        <item x="7"/>
        <item t="default"/>
      </items>
    </pivotField>
    <pivotField dataField="1" numFmtId="165" showAll="0"/>
    <pivotField dataField="1" numFmtId="165" showAll="0"/>
    <pivotField showAll="0" defaultSubtotal="0">
      <items count="14">
        <item x="0"/>
        <item x="1"/>
        <item x="2"/>
        <item x="3"/>
        <item x="4"/>
        <item x="5"/>
        <item x="6"/>
        <item x="7"/>
        <item x="8"/>
        <item x="9"/>
        <item x="10"/>
        <item x="11"/>
        <item x="12"/>
        <item x="13"/>
      </items>
    </pivotField>
  </pivotFields>
  <rowFields count="1">
    <field x="0"/>
  </rowFields>
  <rowItems count="6">
    <i>
      <x/>
    </i>
    <i>
      <x v="1"/>
    </i>
    <i>
      <x v="2"/>
    </i>
    <i>
      <x v="3"/>
    </i>
    <i>
      <x v="4"/>
    </i>
    <i t="grand">
      <x/>
    </i>
  </rowItems>
  <colFields count="1">
    <field x="-2"/>
  </colFields>
  <colItems count="3">
    <i>
      <x/>
    </i>
    <i i="1">
      <x v="1"/>
    </i>
    <i i="2">
      <x v="2"/>
    </i>
  </colItems>
  <dataFields count="3">
    <dataField name="Sum of Budget" fld="8" baseField="0" baseItem="0"/>
    <dataField name="Average of Progress" fld="7" subtotal="average" baseField="0" baseItem="0"/>
    <dataField name="Sum of Actual" fld="9" baseField="0" baseItem="0"/>
  </dataFields>
  <chartFormats count="21">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0" count="1" selected="0">
            <x v="0"/>
          </reference>
        </references>
      </pivotArea>
    </chartFormat>
    <chartFormat chart="4" format="26">
      <pivotArea type="data" outline="0" fieldPosition="0">
        <references count="2">
          <reference field="4294967294" count="1" selected="0">
            <x v="0"/>
          </reference>
          <reference field="0" count="1" selected="0">
            <x v="1"/>
          </reference>
        </references>
      </pivotArea>
    </chartFormat>
    <chartFormat chart="4" format="27">
      <pivotArea type="data" outline="0" fieldPosition="0">
        <references count="2">
          <reference field="4294967294" count="1" selected="0">
            <x v="0"/>
          </reference>
          <reference field="0" count="1" selected="0">
            <x v="2"/>
          </reference>
        </references>
      </pivotArea>
    </chartFormat>
    <chartFormat chart="4" format="28">
      <pivotArea type="data" outline="0" fieldPosition="0">
        <references count="2">
          <reference field="4294967294" count="1" selected="0">
            <x v="0"/>
          </reference>
          <reference field="0" count="1" selected="0">
            <x v="3"/>
          </reference>
        </references>
      </pivotArea>
    </chartFormat>
    <chartFormat chart="4" format="29">
      <pivotArea type="data" outline="0" fieldPosition="0">
        <references count="2">
          <reference field="4294967294" count="1" selected="0">
            <x v="0"/>
          </reference>
          <reference field="0" count="1" selected="0">
            <x v="4"/>
          </reference>
        </references>
      </pivotArea>
    </chartFormat>
    <chartFormat chart="4" format="30" series="1">
      <pivotArea type="data" outline="0" fieldPosition="0">
        <references count="1">
          <reference field="4294967294" count="1" selected="0">
            <x v="1"/>
          </reference>
        </references>
      </pivotArea>
    </chartFormat>
    <chartFormat chart="4" format="31">
      <pivotArea type="data" outline="0" fieldPosition="0">
        <references count="2">
          <reference field="4294967294" count="1" selected="0">
            <x v="1"/>
          </reference>
          <reference field="0" count="1" selected="0">
            <x v="0"/>
          </reference>
        </references>
      </pivotArea>
    </chartFormat>
    <chartFormat chart="4" format="32">
      <pivotArea type="data" outline="0" fieldPosition="0">
        <references count="2">
          <reference field="4294967294" count="1" selected="0">
            <x v="1"/>
          </reference>
          <reference field="0" count="1" selected="0">
            <x v="1"/>
          </reference>
        </references>
      </pivotArea>
    </chartFormat>
    <chartFormat chart="4" format="33">
      <pivotArea type="data" outline="0" fieldPosition="0">
        <references count="2">
          <reference field="4294967294" count="1" selected="0">
            <x v="1"/>
          </reference>
          <reference field="0" count="1" selected="0">
            <x v="2"/>
          </reference>
        </references>
      </pivotArea>
    </chartFormat>
    <chartFormat chart="4" format="34">
      <pivotArea type="data" outline="0" fieldPosition="0">
        <references count="2">
          <reference field="4294967294" count="1" selected="0">
            <x v="1"/>
          </reference>
          <reference field="0" count="1" selected="0">
            <x v="3"/>
          </reference>
        </references>
      </pivotArea>
    </chartFormat>
    <chartFormat chart="4" format="35">
      <pivotArea type="data" outline="0" fieldPosition="0">
        <references count="2">
          <reference field="4294967294" count="1" selected="0">
            <x v="1"/>
          </reference>
          <reference field="0" count="1" selected="0">
            <x v="4"/>
          </reference>
        </references>
      </pivotArea>
    </chartFormat>
    <chartFormat chart="4" format="36" series="1">
      <pivotArea type="data" outline="0" fieldPosition="0">
        <references count="1">
          <reference field="4294967294" count="1" selected="0">
            <x v="2"/>
          </reference>
        </references>
      </pivotArea>
    </chartFormat>
    <chartFormat chart="4" format="37">
      <pivotArea type="data" outline="0" fieldPosition="0">
        <references count="2">
          <reference field="4294967294" count="1" selected="0">
            <x v="2"/>
          </reference>
          <reference field="0" count="1" selected="0">
            <x v="0"/>
          </reference>
        </references>
      </pivotArea>
    </chartFormat>
    <chartFormat chart="4" format="38">
      <pivotArea type="data" outline="0" fieldPosition="0">
        <references count="2">
          <reference field="4294967294" count="1" selected="0">
            <x v="2"/>
          </reference>
          <reference field="0" count="1" selected="0">
            <x v="1"/>
          </reference>
        </references>
      </pivotArea>
    </chartFormat>
    <chartFormat chart="4" format="39">
      <pivotArea type="data" outline="0" fieldPosition="0">
        <references count="2">
          <reference field="4294967294" count="1" selected="0">
            <x v="2"/>
          </reference>
          <reference field="0" count="1" selected="0">
            <x v="2"/>
          </reference>
        </references>
      </pivotArea>
    </chartFormat>
    <chartFormat chart="4" format="40">
      <pivotArea type="data" outline="0" fieldPosition="0">
        <references count="2">
          <reference field="4294967294" count="1" selected="0">
            <x v="2"/>
          </reference>
          <reference field="0" count="1" selected="0">
            <x v="3"/>
          </reference>
        </references>
      </pivotArea>
    </chartFormat>
    <chartFormat chart="4" format="41">
      <pivotArea type="data" outline="0" fieldPosition="0">
        <references count="2">
          <reference field="4294967294" count="1" selected="0">
            <x v="2"/>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ject" sourceName="Project">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1">
      <items count="5">
        <i x="4" s="1"/>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nager" sourceName="Manager">
  <pivotTables>
    <pivotTable tabId="6" name="PivotTable1"/>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rt_Date" sourceName="Start Date">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1">
      <items count="368">
        <i x="62" s="1"/>
        <i x="48" s="1"/>
        <i x="49" s="1"/>
        <i x="50" s="1"/>
        <i x="51" s="1"/>
        <i x="52" s="1"/>
        <i x="55" s="1"/>
        <i x="56" s="1"/>
        <i x="57" s="1"/>
        <i x="58" s="1"/>
        <i x="59" s="1"/>
        <i x="0" s="1" nd="1"/>
        <i x="367" s="1" nd="1"/>
        <i x="92" s="1" nd="1"/>
        <i x="214" s="1" nd="1"/>
        <i x="336" s="1" nd="1"/>
        <i x="32" s="1" nd="1"/>
        <i x="1" s="1" nd="1"/>
        <i x="183" s="1" nd="1"/>
        <i x="153" s="1" nd="1"/>
        <i x="61" s="1" nd="1"/>
        <i x="122" s="1" nd="1"/>
        <i x="306" s="1" nd="1"/>
        <i x="275" s="1" nd="1"/>
        <i x="245" s="1" nd="1"/>
        <i x="93" s="1" nd="1"/>
        <i x="215" s="1" nd="1"/>
        <i x="337" s="1" nd="1"/>
        <i x="33" s="1" nd="1"/>
        <i x="2" s="1" nd="1"/>
        <i x="184" s="1" nd="1"/>
        <i x="154" s="1" nd="1"/>
        <i x="123" s="1" nd="1"/>
        <i x="307" s="1" nd="1"/>
        <i x="276" s="1" nd="1"/>
        <i x="246" s="1" nd="1"/>
        <i x="94" s="1" nd="1"/>
        <i x="216" s="1" nd="1"/>
        <i x="338" s="1" nd="1"/>
        <i x="34" s="1" nd="1"/>
        <i x="3" s="1" nd="1"/>
        <i x="185" s="1" nd="1"/>
        <i x="155" s="1" nd="1"/>
        <i x="63" s="1" nd="1"/>
        <i x="124" s="1" nd="1"/>
        <i x="308" s="1" nd="1"/>
        <i x="277" s="1" nd="1"/>
        <i x="247" s="1" nd="1"/>
        <i x="95" s="1" nd="1"/>
        <i x="217" s="1" nd="1"/>
        <i x="339" s="1" nd="1"/>
        <i x="35" s="1" nd="1"/>
        <i x="4" s="1" nd="1"/>
        <i x="186" s="1" nd="1"/>
        <i x="156" s="1" nd="1"/>
        <i x="64" s="1" nd="1"/>
        <i x="125" s="1" nd="1"/>
        <i x="309" s="1" nd="1"/>
        <i x="278" s="1" nd="1"/>
        <i x="248" s="1" nd="1"/>
        <i x="96" s="1" nd="1"/>
        <i x="218" s="1" nd="1"/>
        <i x="340" s="1" nd="1"/>
        <i x="36" s="1" nd="1"/>
        <i x="5" s="1" nd="1"/>
        <i x="187" s="1" nd="1"/>
        <i x="157" s="1" nd="1"/>
        <i x="65" s="1" nd="1"/>
        <i x="126" s="1" nd="1"/>
        <i x="310" s="1" nd="1"/>
        <i x="279" s="1" nd="1"/>
        <i x="249" s="1" nd="1"/>
        <i x="97" s="1" nd="1"/>
        <i x="219" s="1" nd="1"/>
        <i x="341" s="1" nd="1"/>
        <i x="37" s="1" nd="1"/>
        <i x="6" s="1" nd="1"/>
        <i x="188" s="1" nd="1"/>
        <i x="158" s="1" nd="1"/>
        <i x="66" s="1" nd="1"/>
        <i x="127" s="1" nd="1"/>
        <i x="311" s="1" nd="1"/>
        <i x="280" s="1" nd="1"/>
        <i x="250" s="1" nd="1"/>
        <i x="98" s="1" nd="1"/>
        <i x="220" s="1" nd="1"/>
        <i x="342" s="1" nd="1"/>
        <i x="38" s="1" nd="1"/>
        <i x="7" s="1" nd="1"/>
        <i x="189" s="1" nd="1"/>
        <i x="159" s="1" nd="1"/>
        <i x="67" s="1" nd="1"/>
        <i x="128" s="1" nd="1"/>
        <i x="312" s="1" nd="1"/>
        <i x="281" s="1" nd="1"/>
        <i x="251" s="1" nd="1"/>
        <i x="99" s="1" nd="1"/>
        <i x="221" s="1" nd="1"/>
        <i x="343" s="1" nd="1"/>
        <i x="39" s="1" nd="1"/>
        <i x="8" s="1" nd="1"/>
        <i x="190" s="1" nd="1"/>
        <i x="160" s="1" nd="1"/>
        <i x="68" s="1" nd="1"/>
        <i x="129" s="1" nd="1"/>
        <i x="313" s="1" nd="1"/>
        <i x="282" s="1" nd="1"/>
        <i x="252" s="1" nd="1"/>
        <i x="100" s="1" nd="1"/>
        <i x="222" s="1" nd="1"/>
        <i x="344" s="1" nd="1"/>
        <i x="40" s="1" nd="1"/>
        <i x="9" s="1" nd="1"/>
        <i x="191" s="1" nd="1"/>
        <i x="161" s="1" nd="1"/>
        <i x="69" s="1" nd="1"/>
        <i x="130" s="1" nd="1"/>
        <i x="314" s="1" nd="1"/>
        <i x="283" s="1" nd="1"/>
        <i x="253" s="1" nd="1"/>
        <i x="101" s="1" nd="1"/>
        <i x="223" s="1" nd="1"/>
        <i x="345" s="1" nd="1"/>
        <i x="41" s="1" nd="1"/>
        <i x="10" s="1" nd="1"/>
        <i x="192" s="1" nd="1"/>
        <i x="162" s="1" nd="1"/>
        <i x="70" s="1" nd="1"/>
        <i x="131" s="1" nd="1"/>
        <i x="315" s="1" nd="1"/>
        <i x="284" s="1" nd="1"/>
        <i x="254" s="1" nd="1"/>
        <i x="102" s="1" nd="1"/>
        <i x="224" s="1" nd="1"/>
        <i x="346" s="1" nd="1"/>
        <i x="42" s="1" nd="1"/>
        <i x="11" s="1" nd="1"/>
        <i x="193" s="1" nd="1"/>
        <i x="163" s="1" nd="1"/>
        <i x="71" s="1" nd="1"/>
        <i x="132" s="1" nd="1"/>
        <i x="316" s="1" nd="1"/>
        <i x="285" s="1" nd="1"/>
        <i x="255" s="1" nd="1"/>
        <i x="103" s="1" nd="1"/>
        <i x="225" s="1" nd="1"/>
        <i x="347" s="1" nd="1"/>
        <i x="43" s="1" nd="1"/>
        <i x="12" s="1" nd="1"/>
        <i x="194" s="1" nd="1"/>
        <i x="164" s="1" nd="1"/>
        <i x="72" s="1" nd="1"/>
        <i x="133" s="1" nd="1"/>
        <i x="317" s="1" nd="1"/>
        <i x="286" s="1" nd="1"/>
        <i x="256" s="1" nd="1"/>
        <i x="104" s="1" nd="1"/>
        <i x="226" s="1" nd="1"/>
        <i x="348" s="1" nd="1"/>
        <i x="44" s="1" nd="1"/>
        <i x="13" s="1" nd="1"/>
        <i x="195" s="1" nd="1"/>
        <i x="165" s="1" nd="1"/>
        <i x="73" s="1" nd="1"/>
        <i x="134" s="1" nd="1"/>
        <i x="318" s="1" nd="1"/>
        <i x="287" s="1" nd="1"/>
        <i x="257" s="1" nd="1"/>
        <i x="105" s="1" nd="1"/>
        <i x="227" s="1" nd="1"/>
        <i x="349" s="1" nd="1"/>
        <i x="45" s="1" nd="1"/>
        <i x="14" s="1" nd="1"/>
        <i x="196" s="1" nd="1"/>
        <i x="166" s="1" nd="1"/>
        <i x="74" s="1" nd="1"/>
        <i x="135" s="1" nd="1"/>
        <i x="319" s="1" nd="1"/>
        <i x="288" s="1" nd="1"/>
        <i x="258" s="1" nd="1"/>
        <i x="106" s="1" nd="1"/>
        <i x="228" s="1" nd="1"/>
        <i x="350" s="1" nd="1"/>
        <i x="46" s="1" nd="1"/>
        <i x="15" s="1" nd="1"/>
        <i x="197" s="1" nd="1"/>
        <i x="167" s="1" nd="1"/>
        <i x="75" s="1" nd="1"/>
        <i x="136" s="1" nd="1"/>
        <i x="320" s="1" nd="1"/>
        <i x="289" s="1" nd="1"/>
        <i x="259" s="1" nd="1"/>
        <i x="107" s="1" nd="1"/>
        <i x="229" s="1" nd="1"/>
        <i x="351" s="1" nd="1"/>
        <i x="47" s="1" nd="1"/>
        <i x="16" s="1" nd="1"/>
        <i x="198" s="1" nd="1"/>
        <i x="168" s="1" nd="1"/>
        <i x="76" s="1" nd="1"/>
        <i x="137" s="1" nd="1"/>
        <i x="321" s="1" nd="1"/>
        <i x="290" s="1" nd="1"/>
        <i x="260" s="1" nd="1"/>
        <i x="108" s="1" nd="1"/>
        <i x="230" s="1" nd="1"/>
        <i x="352" s="1" nd="1"/>
        <i x="17" s="1" nd="1"/>
        <i x="199" s="1" nd="1"/>
        <i x="169" s="1" nd="1"/>
        <i x="77" s="1" nd="1"/>
        <i x="138" s="1" nd="1"/>
        <i x="322" s="1" nd="1"/>
        <i x="291" s="1" nd="1"/>
        <i x="261" s="1" nd="1"/>
        <i x="109" s="1" nd="1"/>
        <i x="231" s="1" nd="1"/>
        <i x="353" s="1" nd="1"/>
        <i x="18" s="1" nd="1"/>
        <i x="200" s="1" nd="1"/>
        <i x="170" s="1" nd="1"/>
        <i x="78" s="1" nd="1"/>
        <i x="139" s="1" nd="1"/>
        <i x="323" s="1" nd="1"/>
        <i x="292" s="1" nd="1"/>
        <i x="262" s="1" nd="1"/>
        <i x="110" s="1" nd="1"/>
        <i x="232" s="1" nd="1"/>
        <i x="354" s="1" nd="1"/>
        <i x="19" s="1" nd="1"/>
        <i x="201" s="1" nd="1"/>
        <i x="171" s="1" nd="1"/>
        <i x="79" s="1" nd="1"/>
        <i x="140" s="1" nd="1"/>
        <i x="324" s="1" nd="1"/>
        <i x="293" s="1" nd="1"/>
        <i x="263" s="1" nd="1"/>
        <i x="111" s="1" nd="1"/>
        <i x="233" s="1" nd="1"/>
        <i x="355" s="1" nd="1"/>
        <i x="20" s="1" nd="1"/>
        <i x="202" s="1" nd="1"/>
        <i x="172" s="1" nd="1"/>
        <i x="80" s="1" nd="1"/>
        <i x="141" s="1" nd="1"/>
        <i x="325" s="1" nd="1"/>
        <i x="294" s="1" nd="1"/>
        <i x="264" s="1" nd="1"/>
        <i x="112" s="1" nd="1"/>
        <i x="234" s="1" nd="1"/>
        <i x="356" s="1" nd="1"/>
        <i x="21" s="1" nd="1"/>
        <i x="203" s="1" nd="1"/>
        <i x="173" s="1" nd="1"/>
        <i x="81" s="1" nd="1"/>
        <i x="142" s="1" nd="1"/>
        <i x="326" s="1" nd="1"/>
        <i x="295" s="1" nd="1"/>
        <i x="265" s="1" nd="1"/>
        <i x="113" s="1" nd="1"/>
        <i x="235" s="1" nd="1"/>
        <i x="357" s="1" nd="1"/>
        <i x="53" s="1" nd="1"/>
        <i x="22" s="1" nd="1"/>
        <i x="204" s="1" nd="1"/>
        <i x="174" s="1" nd="1"/>
        <i x="82" s="1" nd="1"/>
        <i x="143" s="1" nd="1"/>
        <i x="327" s="1" nd="1"/>
        <i x="296" s="1" nd="1"/>
        <i x="266" s="1" nd="1"/>
        <i x="114" s="1" nd="1"/>
        <i x="236" s="1" nd="1"/>
        <i x="358" s="1" nd="1"/>
        <i x="54" s="1" nd="1"/>
        <i x="23" s="1" nd="1"/>
        <i x="205" s="1" nd="1"/>
        <i x="175" s="1" nd="1"/>
        <i x="83" s="1" nd="1"/>
        <i x="144" s="1" nd="1"/>
        <i x="328" s="1" nd="1"/>
        <i x="297" s="1" nd="1"/>
        <i x="267" s="1" nd="1"/>
        <i x="115" s="1" nd="1"/>
        <i x="237" s="1" nd="1"/>
        <i x="359" s="1" nd="1"/>
        <i x="24" s="1" nd="1"/>
        <i x="206" s="1" nd="1"/>
        <i x="176" s="1" nd="1"/>
        <i x="84" s="1" nd="1"/>
        <i x="145" s="1" nd="1"/>
        <i x="329" s="1" nd="1"/>
        <i x="298" s="1" nd="1"/>
        <i x="268" s="1" nd="1"/>
        <i x="116" s="1" nd="1"/>
        <i x="238" s="1" nd="1"/>
        <i x="360" s="1" nd="1"/>
        <i x="25" s="1" nd="1"/>
        <i x="207" s="1" nd="1"/>
        <i x="177" s="1" nd="1"/>
        <i x="85" s="1" nd="1"/>
        <i x="146" s="1" nd="1"/>
        <i x="330" s="1" nd="1"/>
        <i x="299" s="1" nd="1"/>
        <i x="269" s="1" nd="1"/>
        <i x="117" s="1" nd="1"/>
        <i x="239" s="1" nd="1"/>
        <i x="361" s="1" nd="1"/>
        <i x="26" s="1" nd="1"/>
        <i x="208" s="1" nd="1"/>
        <i x="178" s="1" nd="1"/>
        <i x="86" s="1" nd="1"/>
        <i x="147" s="1" nd="1"/>
        <i x="331" s="1" nd="1"/>
        <i x="300" s="1" nd="1"/>
        <i x="270" s="1" nd="1"/>
        <i x="118" s="1" nd="1"/>
        <i x="240" s="1" nd="1"/>
        <i x="362" s="1" nd="1"/>
        <i x="27" s="1" nd="1"/>
        <i x="209" s="1" nd="1"/>
        <i x="179" s="1" nd="1"/>
        <i x="87" s="1" nd="1"/>
        <i x="148" s="1" nd="1"/>
        <i x="332" s="1" nd="1"/>
        <i x="301" s="1" nd="1"/>
        <i x="271" s="1" nd="1"/>
        <i x="119" s="1" nd="1"/>
        <i x="241" s="1" nd="1"/>
        <i x="363" s="1" nd="1"/>
        <i x="28" s="1" nd="1"/>
        <i x="210" s="1" nd="1"/>
        <i x="180" s="1" nd="1"/>
        <i x="88" s="1" nd="1"/>
        <i x="149" s="1" nd="1"/>
        <i x="333" s="1" nd="1"/>
        <i x="302" s="1" nd="1"/>
        <i x="272" s="1" nd="1"/>
        <i x="120" s="1" nd="1"/>
        <i x="242" s="1" nd="1"/>
        <i x="364" s="1" nd="1"/>
        <i x="60" s="1" nd="1"/>
        <i x="29" s="1" nd="1"/>
        <i x="211" s="1" nd="1"/>
        <i x="181" s="1" nd="1"/>
        <i x="89" s="1" nd="1"/>
        <i x="150" s="1" nd="1"/>
        <i x="334" s="1" nd="1"/>
        <i x="303" s="1" nd="1"/>
        <i x="273" s="1" nd="1"/>
        <i x="121" s="1" nd="1"/>
        <i x="243" s="1" nd="1"/>
        <i x="365" s="1" nd="1"/>
        <i x="30" s="1" nd="1"/>
        <i x="212" s="1" nd="1"/>
        <i x="182" s="1" nd="1"/>
        <i x="90" s="1" nd="1"/>
        <i x="151" s="1" nd="1"/>
        <i x="335" s="1" nd="1"/>
        <i x="304" s="1" nd="1"/>
        <i x="274" s="1" nd="1"/>
        <i x="244" s="1" nd="1"/>
        <i x="366" s="1" nd="1"/>
        <i x="31" s="1" nd="1"/>
        <i x="213" s="1" nd="1"/>
        <i x="91" s="1" nd="1"/>
        <i x="152" s="1" nd="1"/>
        <i x="30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uration" sourceName="Duration">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1">
      <items count="8">
        <i x="7" s="1"/>
        <i x="4" s="1"/>
        <i x="0" s="1"/>
        <i x="1" s="1"/>
        <i x="5" s="1"/>
        <i x="6"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End_Date" sourceName="End Date">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1">
      <items count="15">
        <i x="10" s="1"/>
        <i x="4" s="1"/>
        <i x="0" s="1"/>
        <i x="1" s="1"/>
        <i x="8" s="1"/>
        <i x="5" s="1"/>
        <i x="6" s="1"/>
        <i x="2" s="1"/>
        <i x="11" s="1"/>
        <i x="3" s="1"/>
        <i x="7" s="1"/>
        <i x="9" s="1"/>
        <i x="14" s="1"/>
        <i x="12" s="1"/>
        <i x="1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gress" sourceName="Progress">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1">
      <items count="19">
        <i x="4" s="1"/>
        <i x="6" s="1"/>
        <i x="14" s="1"/>
        <i x="3" s="1"/>
        <i x="11" s="1"/>
        <i x="16" s="1"/>
        <i x="2" s="1"/>
        <i x="17" s="1"/>
        <i x="0" s="1"/>
        <i x="5" s="1"/>
        <i x="8" s="1"/>
        <i x="1" s="1"/>
        <i x="18" s="1"/>
        <i x="15" s="1"/>
        <i x="12" s="1"/>
        <i x="10" s="1"/>
        <i x="9" s="1"/>
        <i x="1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ject" cache="Slicer_Project" caption="Project" rowHeight="241300"/>
  <slicer name="Manager" cache="Slicer_Manager" caption="Manager" rowHeight="241300"/>
  <slicer name="Start Date" cache="Slicer_Start_Date" caption="Start Date" rowHeight="241300"/>
  <slicer name="Duration" cache="Slicer_Duration" caption="Duration" rowHeight="241300"/>
  <slicer name="End Date" cache="Slicer_End_Date" caption="End Date" rowHeight="241300"/>
  <slicer name="Progress" cache="Slicer_Progress" caption="Progres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ject 1" cache="Slicer_Project" caption="Project" rowHeight="241300"/>
  <slicer name="Manager 1" cache="Slicer_Manager" caption="Manager" rowHeight="241300"/>
  <slicer name="Start Date 1" cache="Slicer_Start_Date" caption="Start Date" rowHeight="241300"/>
  <slicer name="Duration 1" cache="Slicer_Duration" caption="Duration" rowHeight="241300"/>
  <slicer name="End Date 1" cache="Slicer_End_Date" caption="End Date" rowHeight="241300"/>
  <slicer name="Progress 1" cache="Slicer_Progress" caption="Progress" rowHeight="241300"/>
</slicers>
</file>

<file path=xl/tables/table1.xml><?xml version="1.0" encoding="utf-8"?>
<table xmlns="http://schemas.openxmlformats.org/spreadsheetml/2006/main" id="1" name="Table1" displayName="Table1" ref="A1:J41" totalsRowShown="0" dataDxfId="167" tableBorderDxfId="166">
  <autoFilter ref="A1:J41"/>
  <tableColumns count="10">
    <tableColumn id="1" name="Project" dataDxfId="158"/>
    <tableColumn id="2" name="Task NO." dataDxfId="156"/>
    <tableColumn id="3" name="Manager" dataDxfId="157"/>
    <tableColumn id="4" name="Start Date" dataDxfId="165"/>
    <tableColumn id="5" name="Duration" dataDxfId="164"/>
    <tableColumn id="6" name="End Date" dataDxfId="163">
      <calculatedColumnFormula>WORKDAY.INTL([1]!Table1[[#This Row],[Start Date]]-1,[1]!Table1[[#This Row],[Duration]],1)</calculatedColumnFormula>
    </tableColumn>
    <tableColumn id="7" name="Days completed" dataDxfId="162"/>
    <tableColumn id="8" name="Progress" dataDxfId="161" dataCellStyle="Percent">
      <calculatedColumnFormula>[1]!Table1[[#This Row],[Days completed]]/[1]!Table1[[#This Row],[Duration]]</calculatedColumnFormula>
    </tableColumn>
    <tableColumn id="9" name="Budget" dataDxfId="160" dataCellStyle="Currency"/>
    <tableColumn id="10" name="Actual" dataDxfId="159"/>
  </tableColumns>
  <tableStyleInfo name="TableStyleLigh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election activeCell="K38" sqref="K38"/>
    </sheetView>
  </sheetViews>
  <sheetFormatPr defaultRowHeight="14.25" x14ac:dyDescent="0.2"/>
  <cols>
    <col min="1" max="1" width="13" customWidth="1"/>
    <col min="2" max="2" width="13.875" customWidth="1"/>
    <col min="3" max="3" width="18.75" customWidth="1"/>
    <col min="4" max="4" width="13.25" customWidth="1"/>
    <col min="6" max="6" width="13" customWidth="1"/>
    <col min="7" max="7" width="16.75" customWidth="1"/>
    <col min="8" max="8" width="18.75" customWidth="1"/>
    <col min="9" max="9" width="13" customWidth="1"/>
    <col min="10" max="10" width="16.75" customWidth="1"/>
    <col min="11" max="11" width="13.875" customWidth="1"/>
    <col min="12" max="13" width="13.25" customWidth="1"/>
    <col min="14" max="14" width="11.625" bestFit="1" customWidth="1"/>
  </cols>
  <sheetData>
    <row r="1" spans="1:12" ht="22.5" x14ac:dyDescent="0.3">
      <c r="A1" s="40" t="s">
        <v>42</v>
      </c>
      <c r="B1" s="40"/>
      <c r="C1" s="40"/>
      <c r="F1" s="40" t="s">
        <v>43</v>
      </c>
      <c r="G1" s="40"/>
      <c r="H1" s="40"/>
    </row>
    <row r="3" spans="1:12" x14ac:dyDescent="0.2">
      <c r="A3" s="16" t="s">
        <v>29</v>
      </c>
      <c r="B3" t="s">
        <v>31</v>
      </c>
      <c r="C3" t="s">
        <v>41</v>
      </c>
      <c r="D3" t="s">
        <v>32</v>
      </c>
      <c r="F3" s="16" t="s">
        <v>29</v>
      </c>
      <c r="G3" t="s">
        <v>31</v>
      </c>
      <c r="H3" t="s">
        <v>41</v>
      </c>
      <c r="I3" t="s">
        <v>32</v>
      </c>
      <c r="K3" t="s">
        <v>31</v>
      </c>
      <c r="L3" t="s">
        <v>32</v>
      </c>
    </row>
    <row r="4" spans="1:12" x14ac:dyDescent="0.2">
      <c r="A4" s="17" t="s">
        <v>19</v>
      </c>
      <c r="B4" s="18">
        <v>3962000</v>
      </c>
      <c r="C4" s="18">
        <v>0.41850198412698408</v>
      </c>
      <c r="D4" s="18">
        <v>1911382</v>
      </c>
      <c r="F4" s="17" t="s">
        <v>2</v>
      </c>
      <c r="G4" s="18">
        <v>3825000</v>
      </c>
      <c r="H4" s="18">
        <v>0.59861111111111109</v>
      </c>
      <c r="I4" s="18">
        <v>2672401</v>
      </c>
      <c r="K4" s="42">
        <v>19695000</v>
      </c>
      <c r="L4" s="42">
        <v>8340291</v>
      </c>
    </row>
    <row r="5" spans="1:12" x14ac:dyDescent="0.2">
      <c r="A5" s="17" t="s">
        <v>18</v>
      </c>
      <c r="B5" s="18">
        <v>3949000</v>
      </c>
      <c r="C5" s="18">
        <v>0.43055555555555552</v>
      </c>
      <c r="D5" s="18">
        <v>2059951</v>
      </c>
      <c r="F5" s="17" t="s">
        <v>10</v>
      </c>
      <c r="G5" s="18">
        <v>4335000</v>
      </c>
      <c r="H5" s="18">
        <v>0.4458333333333333</v>
      </c>
      <c r="I5" s="18">
        <v>1516977</v>
      </c>
    </row>
    <row r="6" spans="1:12" x14ac:dyDescent="0.2">
      <c r="A6" s="17" t="s">
        <v>0</v>
      </c>
      <c r="B6" s="18">
        <v>3849000</v>
      </c>
      <c r="C6" s="18">
        <v>0.33230158730158726</v>
      </c>
      <c r="D6" s="18">
        <v>1208369</v>
      </c>
      <c r="F6" s="17" t="s">
        <v>6</v>
      </c>
      <c r="G6" s="18">
        <v>2826000</v>
      </c>
      <c r="H6" s="18">
        <v>0.2566964285714286</v>
      </c>
      <c r="I6" s="18">
        <v>577197</v>
      </c>
    </row>
    <row r="7" spans="1:12" x14ac:dyDescent="0.2">
      <c r="A7" s="17" t="s">
        <v>16</v>
      </c>
      <c r="B7" s="18">
        <v>4305000</v>
      </c>
      <c r="C7" s="18">
        <v>0.51349206349206356</v>
      </c>
      <c r="D7" s="18">
        <v>1557922</v>
      </c>
      <c r="F7" s="17" t="s">
        <v>4</v>
      </c>
      <c r="G7" s="18">
        <v>3285000</v>
      </c>
      <c r="H7" s="18">
        <v>0.51686507936507942</v>
      </c>
      <c r="I7" s="18">
        <v>1610823</v>
      </c>
    </row>
    <row r="8" spans="1:12" x14ac:dyDescent="0.2">
      <c r="A8" s="17" t="s">
        <v>17</v>
      </c>
      <c r="B8" s="18">
        <v>3630000</v>
      </c>
      <c r="C8" s="18">
        <v>0.53619047619047611</v>
      </c>
      <c r="D8" s="18">
        <v>1602667</v>
      </c>
      <c r="F8" s="17" t="s">
        <v>8</v>
      </c>
      <c r="G8" s="18">
        <v>5424000</v>
      </c>
      <c r="H8" s="18">
        <v>0.36959325396825393</v>
      </c>
      <c r="I8" s="18">
        <v>1962893</v>
      </c>
    </row>
    <row r="9" spans="1:12" x14ac:dyDescent="0.2">
      <c r="A9" s="17" t="s">
        <v>30</v>
      </c>
      <c r="B9" s="18">
        <v>19695000</v>
      </c>
      <c r="C9" s="18">
        <v>0.43751984126984123</v>
      </c>
      <c r="D9" s="18">
        <v>8340291</v>
      </c>
      <c r="F9" s="17" t="s">
        <v>30</v>
      </c>
      <c r="G9" s="18">
        <v>19695000</v>
      </c>
      <c r="H9" s="18">
        <v>0.43751984126984134</v>
      </c>
      <c r="I9" s="18">
        <v>8340291</v>
      </c>
    </row>
    <row r="15" spans="1:12" ht="22.5" x14ac:dyDescent="0.3">
      <c r="A15" s="40" t="s">
        <v>47</v>
      </c>
      <c r="B15" s="40"/>
      <c r="F15" s="40" t="s">
        <v>48</v>
      </c>
      <c r="G15" s="40"/>
      <c r="I15" s="40" t="s">
        <v>49</v>
      </c>
      <c r="J15" s="40"/>
    </row>
    <row r="17" spans="1:10" x14ac:dyDescent="0.2">
      <c r="A17" s="16" t="s">
        <v>29</v>
      </c>
      <c r="B17" t="s">
        <v>46</v>
      </c>
      <c r="F17" s="16" t="s">
        <v>29</v>
      </c>
      <c r="G17" t="s">
        <v>46</v>
      </c>
      <c r="I17" s="16" t="s">
        <v>29</v>
      </c>
      <c r="J17" t="s">
        <v>46</v>
      </c>
    </row>
    <row r="18" spans="1:10" x14ac:dyDescent="0.2">
      <c r="A18" s="17" t="s">
        <v>44</v>
      </c>
      <c r="B18" s="18">
        <v>37</v>
      </c>
      <c r="F18" s="17" t="s">
        <v>44</v>
      </c>
      <c r="G18" s="18">
        <v>37</v>
      </c>
      <c r="I18" s="41">
        <v>0</v>
      </c>
      <c r="J18" s="18">
        <v>4</v>
      </c>
    </row>
    <row r="19" spans="1:10" x14ac:dyDescent="0.2">
      <c r="A19" s="17" t="s">
        <v>45</v>
      </c>
      <c r="B19" s="18">
        <v>3</v>
      </c>
      <c r="F19" s="17" t="s">
        <v>45</v>
      </c>
      <c r="G19" s="18">
        <v>3</v>
      </c>
      <c r="I19" s="41">
        <v>0.1111111111111111</v>
      </c>
      <c r="J19" s="18">
        <v>1</v>
      </c>
    </row>
    <row r="20" spans="1:10" x14ac:dyDescent="0.2">
      <c r="A20" s="17" t="s">
        <v>30</v>
      </c>
      <c r="B20" s="18">
        <v>40</v>
      </c>
      <c r="F20" s="17" t="s">
        <v>30</v>
      </c>
      <c r="G20" s="18">
        <v>40</v>
      </c>
      <c r="I20" s="41">
        <v>0.2</v>
      </c>
      <c r="J20" s="18">
        <v>2</v>
      </c>
    </row>
    <row r="21" spans="1:10" x14ac:dyDescent="0.2">
      <c r="I21" s="41">
        <v>0.25</v>
      </c>
      <c r="J21" s="18">
        <v>3</v>
      </c>
    </row>
    <row r="22" spans="1:10" x14ac:dyDescent="0.2">
      <c r="I22" s="41">
        <v>0.2857142857142857</v>
      </c>
      <c r="J22" s="18">
        <v>1</v>
      </c>
    </row>
    <row r="23" spans="1:10" x14ac:dyDescent="0.2">
      <c r="I23" s="41">
        <v>0.3</v>
      </c>
      <c r="J23" s="18">
        <v>2</v>
      </c>
    </row>
    <row r="24" spans="1:10" x14ac:dyDescent="0.2">
      <c r="I24" s="41">
        <v>0.33333333333333331</v>
      </c>
      <c r="J24" s="18">
        <v>1</v>
      </c>
    </row>
    <row r="25" spans="1:10" x14ac:dyDescent="0.2">
      <c r="I25" s="41">
        <v>0.375</v>
      </c>
      <c r="J25" s="18">
        <v>1</v>
      </c>
    </row>
    <row r="26" spans="1:10" x14ac:dyDescent="0.2">
      <c r="I26" s="41">
        <v>0.4</v>
      </c>
      <c r="J26" s="18">
        <v>3</v>
      </c>
    </row>
    <row r="27" spans="1:10" x14ac:dyDescent="0.2">
      <c r="A27" s="43" t="s">
        <v>29</v>
      </c>
      <c r="B27" s="35" t="s">
        <v>41</v>
      </c>
      <c r="I27" s="41">
        <v>0.42857142857142855</v>
      </c>
      <c r="J27" s="18">
        <v>5</v>
      </c>
    </row>
    <row r="28" spans="1:10" x14ac:dyDescent="0.2">
      <c r="A28" s="44" t="s">
        <v>19</v>
      </c>
      <c r="B28" s="35">
        <v>0.41850198412698408</v>
      </c>
      <c r="I28" s="41">
        <v>0.44444444444444442</v>
      </c>
      <c r="J28" s="18">
        <v>2</v>
      </c>
    </row>
    <row r="29" spans="1:10" x14ac:dyDescent="0.2">
      <c r="A29" s="44" t="s">
        <v>18</v>
      </c>
      <c r="B29" s="35">
        <v>0.43055555555555552</v>
      </c>
      <c r="I29" s="41">
        <v>0.5</v>
      </c>
      <c r="J29" s="18">
        <v>6</v>
      </c>
    </row>
    <row r="30" spans="1:10" x14ac:dyDescent="0.2">
      <c r="A30" s="44" t="s">
        <v>0</v>
      </c>
      <c r="B30" s="35">
        <v>0.33230158730158726</v>
      </c>
      <c r="I30" s="41">
        <v>0.6</v>
      </c>
      <c r="J30" s="18">
        <v>1</v>
      </c>
    </row>
    <row r="31" spans="1:10" x14ac:dyDescent="0.2">
      <c r="A31" s="44" t="s">
        <v>16</v>
      </c>
      <c r="B31" s="35">
        <v>0.51349206349206356</v>
      </c>
      <c r="I31" s="41">
        <v>0.625</v>
      </c>
      <c r="J31" s="18">
        <v>1</v>
      </c>
    </row>
    <row r="32" spans="1:10" x14ac:dyDescent="0.2">
      <c r="A32" s="44" t="s">
        <v>17</v>
      </c>
      <c r="B32" s="35">
        <v>0.53619047619047611</v>
      </c>
      <c r="I32" s="41">
        <v>0.66666666666666663</v>
      </c>
      <c r="J32" s="18">
        <v>1</v>
      </c>
    </row>
    <row r="33" spans="1:10" x14ac:dyDescent="0.2">
      <c r="A33" s="44" t="s">
        <v>30</v>
      </c>
      <c r="B33" s="35">
        <v>0.43751984126984123</v>
      </c>
      <c r="I33" s="41">
        <v>0.8</v>
      </c>
      <c r="J33" s="18">
        <v>1</v>
      </c>
    </row>
    <row r="34" spans="1:10" x14ac:dyDescent="0.2">
      <c r="I34" s="41">
        <v>0.83333333333333337</v>
      </c>
      <c r="J34" s="18">
        <v>1</v>
      </c>
    </row>
    <row r="35" spans="1:10" x14ac:dyDescent="0.2">
      <c r="I35" s="41">
        <v>0.88888888888888884</v>
      </c>
      <c r="J35" s="18">
        <v>1</v>
      </c>
    </row>
    <row r="36" spans="1:10" x14ac:dyDescent="0.2">
      <c r="I36" s="41">
        <v>1</v>
      </c>
      <c r="J36" s="18">
        <v>3</v>
      </c>
    </row>
    <row r="37" spans="1:10" x14ac:dyDescent="0.2">
      <c r="I37" s="41" t="s">
        <v>30</v>
      </c>
      <c r="J37" s="18">
        <v>40</v>
      </c>
    </row>
  </sheetData>
  <mergeCells count="5">
    <mergeCell ref="A1:C1"/>
    <mergeCell ref="F1:H1"/>
    <mergeCell ref="A15:B15"/>
    <mergeCell ref="F15:G15"/>
    <mergeCell ref="I15:J15"/>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topLeftCell="A2" workbookViewId="0">
      <selection activeCell="O16" sqref="O16"/>
    </sheetView>
  </sheetViews>
  <sheetFormatPr defaultRowHeight="14.25" x14ac:dyDescent="0.2"/>
  <cols>
    <col min="1" max="1" width="9.375" customWidth="1"/>
    <col min="2" max="2" width="10.875" style="35" customWidth="1"/>
    <col min="3" max="3" width="10.75" customWidth="1"/>
    <col min="4" max="4" width="11.75" customWidth="1"/>
    <col min="5" max="5" width="10.75" style="27" customWidth="1"/>
    <col min="6" max="6" width="10.875" customWidth="1"/>
    <col min="7" max="7" width="17.25" customWidth="1"/>
    <col min="8" max="8" width="10.625" style="23" customWidth="1"/>
    <col min="9" max="9" width="12.75" style="19" customWidth="1"/>
    <col min="10" max="10" width="12.75" style="31" customWidth="1"/>
    <col min="15" max="15" width="12.75" customWidth="1"/>
  </cols>
  <sheetData>
    <row r="1" spans="1:15" x14ac:dyDescent="0.2">
      <c r="A1" t="s">
        <v>20</v>
      </c>
      <c r="B1" s="35" t="s">
        <v>38</v>
      </c>
      <c r="C1" t="s">
        <v>21</v>
      </c>
      <c r="D1" s="9" t="s">
        <v>22</v>
      </c>
      <c r="E1" s="27" t="s">
        <v>23</v>
      </c>
      <c r="F1" s="10" t="s">
        <v>24</v>
      </c>
      <c r="G1" s="11" t="s">
        <v>25</v>
      </c>
      <c r="H1" s="23" t="s">
        <v>26</v>
      </c>
      <c r="I1" s="19" t="s">
        <v>27</v>
      </c>
      <c r="J1" s="31" t="s">
        <v>28</v>
      </c>
    </row>
    <row r="2" spans="1:15" x14ac:dyDescent="0.2">
      <c r="A2" s="1" t="s">
        <v>0</v>
      </c>
      <c r="B2" s="36" t="s">
        <v>1</v>
      </c>
      <c r="C2" s="2" t="s">
        <v>2</v>
      </c>
      <c r="D2" s="3">
        <v>43878</v>
      </c>
      <c r="E2" s="28">
        <v>5</v>
      </c>
      <c r="F2" s="3">
        <f>WORKDAY.INTL([1]!Table1[[#This Row],[Start Date]]-1,[1]!Table1[[#This Row],[Duration]],1)</f>
        <v>43882</v>
      </c>
      <c r="G2" s="4">
        <v>2</v>
      </c>
      <c r="H2" s="24">
        <f>[1]!Table1[[#This Row],[Days completed]]/[1]!Table1[[#This Row],[Duration]]</f>
        <v>0.4</v>
      </c>
      <c r="I2" s="20">
        <v>218000</v>
      </c>
      <c r="J2" s="32">
        <v>97337</v>
      </c>
    </row>
    <row r="3" spans="1:15" x14ac:dyDescent="0.2">
      <c r="A3" s="5" t="s">
        <v>0</v>
      </c>
      <c r="B3" s="37" t="s">
        <v>3</v>
      </c>
      <c r="C3" s="6" t="s">
        <v>4</v>
      </c>
      <c r="D3" s="7">
        <v>43878</v>
      </c>
      <c r="E3" s="29">
        <v>6</v>
      </c>
      <c r="F3" s="7">
        <f>WORKDAY.INTL([1]!Table1[[#This Row],[Start Date]]-1,[1]!Table1[[#This Row],[Duration]],1)</f>
        <v>43885</v>
      </c>
      <c r="G3" s="8">
        <v>3</v>
      </c>
      <c r="H3" s="25">
        <f>[1]!Table1[[#This Row],[Days completed]]/[1]!Table1[[#This Row],[Duration]]</f>
        <v>0.5</v>
      </c>
      <c r="I3" s="21">
        <v>393000</v>
      </c>
      <c r="J3" s="33">
        <v>177440</v>
      </c>
    </row>
    <row r="4" spans="1:15" x14ac:dyDescent="0.2">
      <c r="A4" s="1" t="s">
        <v>0</v>
      </c>
      <c r="B4" s="36" t="s">
        <v>5</v>
      </c>
      <c r="C4" s="2" t="s">
        <v>6</v>
      </c>
      <c r="D4" s="3">
        <v>43879</v>
      </c>
      <c r="E4" s="28">
        <v>10</v>
      </c>
      <c r="F4" s="3">
        <f>WORKDAY.INTL([1]!Table1[[#This Row],[Start Date]]-1,[1]!Table1[[#This Row],[Duration]],1)</f>
        <v>43892</v>
      </c>
      <c r="G4" s="4">
        <v>4</v>
      </c>
      <c r="H4" s="24">
        <f>[1]!Table1[[#This Row],[Days completed]]/[1]!Table1[[#This Row],[Duration]]</f>
        <v>0.4</v>
      </c>
      <c r="I4" s="20">
        <v>86000</v>
      </c>
      <c r="J4" s="32">
        <v>31046</v>
      </c>
      <c r="M4" t="s">
        <v>33</v>
      </c>
      <c r="O4">
        <f>COUNTA(A:A)</f>
        <v>41</v>
      </c>
    </row>
    <row r="5" spans="1:15" x14ac:dyDescent="0.2">
      <c r="A5" s="5" t="s">
        <v>0</v>
      </c>
      <c r="B5" s="37" t="s">
        <v>7</v>
      </c>
      <c r="C5" s="6" t="s">
        <v>8</v>
      </c>
      <c r="D5" s="7">
        <v>43882</v>
      </c>
      <c r="E5" s="29">
        <v>9</v>
      </c>
      <c r="F5" s="7">
        <f>WORKDAY.INTL([1]!Table1[[#This Row],[Start Date]]-1,[1]!Table1[[#This Row],[Duration]],1)</f>
        <v>43894</v>
      </c>
      <c r="G5" s="8">
        <v>3</v>
      </c>
      <c r="H5" s="25">
        <f>[1]!Table1[[#This Row],[Days completed]]/[1]!Table1[[#This Row],[Duration]]</f>
        <v>0.33333333333333331</v>
      </c>
      <c r="I5" s="21">
        <v>732000</v>
      </c>
      <c r="J5" s="33">
        <v>261324</v>
      </c>
    </row>
    <row r="6" spans="1:15" x14ac:dyDescent="0.2">
      <c r="A6" s="1" t="s">
        <v>0</v>
      </c>
      <c r="B6" s="36" t="s">
        <v>9</v>
      </c>
      <c r="C6" s="2" t="s">
        <v>10</v>
      </c>
      <c r="D6" s="3">
        <v>43878</v>
      </c>
      <c r="E6" s="28">
        <v>4</v>
      </c>
      <c r="F6" s="3">
        <f>WORKDAY.INTL([1]!Table1[[#This Row],[Start Date]]-1,[1]!Table1[[#This Row],[Duration]],1)</f>
        <v>43881</v>
      </c>
      <c r="G6" s="4">
        <v>1</v>
      </c>
      <c r="H6" s="24">
        <f>[1]!Table1[[#This Row],[Days completed]]/[1]!Table1[[#This Row],[Duration]]</f>
        <v>0.25</v>
      </c>
      <c r="I6" s="20">
        <v>492000</v>
      </c>
      <c r="J6" s="32">
        <v>116850</v>
      </c>
      <c r="M6" t="s">
        <v>34</v>
      </c>
      <c r="O6" s="31">
        <f>SUM(I:I)</f>
        <v>19695000</v>
      </c>
    </row>
    <row r="7" spans="1:15" x14ac:dyDescent="0.2">
      <c r="A7" s="5" t="s">
        <v>0</v>
      </c>
      <c r="B7" s="37" t="s">
        <v>11</v>
      </c>
      <c r="C7" s="6" t="s">
        <v>2</v>
      </c>
      <c r="D7" s="7">
        <v>43881</v>
      </c>
      <c r="E7" s="29">
        <v>6</v>
      </c>
      <c r="F7" s="7">
        <f>WORKDAY.INTL([1]!Table1[[#This Row],[Start Date]]-1,[1]!Table1[[#This Row],[Duration]],1)</f>
        <v>43888</v>
      </c>
      <c r="G7" s="8">
        <v>0</v>
      </c>
      <c r="H7" s="25">
        <f>[1]!Table1[[#This Row],[Days completed]]/[1]!Table1[[#This Row],[Duration]]</f>
        <v>0</v>
      </c>
      <c r="I7" s="21">
        <v>188000</v>
      </c>
      <c r="J7" s="33">
        <v>0</v>
      </c>
    </row>
    <row r="8" spans="1:15" x14ac:dyDescent="0.2">
      <c r="A8" s="1" t="s">
        <v>0</v>
      </c>
      <c r="B8" s="36" t="s">
        <v>12</v>
      </c>
      <c r="C8" s="2" t="s">
        <v>4</v>
      </c>
      <c r="D8" s="3">
        <v>43881</v>
      </c>
      <c r="E8" s="28">
        <v>7</v>
      </c>
      <c r="F8" s="3">
        <f>WORKDAY.INTL([1]!Table1[[#This Row],[Start Date]]-1,[1]!Table1[[#This Row],[Duration]],1)</f>
        <v>43889</v>
      </c>
      <c r="G8" s="4">
        <v>3</v>
      </c>
      <c r="H8" s="24">
        <f>[1]!Table1[[#This Row],[Days completed]]/[1]!Table1[[#This Row],[Duration]]</f>
        <v>0.42857142857142855</v>
      </c>
      <c r="I8" s="20">
        <v>180000</v>
      </c>
      <c r="J8" s="32">
        <v>79380</v>
      </c>
      <c r="M8" t="s">
        <v>35</v>
      </c>
      <c r="O8" s="31">
        <f>SUM(J:J)</f>
        <v>8340291</v>
      </c>
    </row>
    <row r="9" spans="1:15" x14ac:dyDescent="0.2">
      <c r="A9" s="5" t="s">
        <v>0</v>
      </c>
      <c r="B9" s="37" t="s">
        <v>13</v>
      </c>
      <c r="C9" s="6" t="s">
        <v>6</v>
      </c>
      <c r="D9" s="7">
        <v>43885</v>
      </c>
      <c r="E9" s="29">
        <v>5</v>
      </c>
      <c r="F9" s="7">
        <f>WORKDAY.INTL([1]!Table1[[#This Row],[Start Date]]-1,[1]!Table1[[#This Row],[Duration]],1)</f>
        <v>43889</v>
      </c>
      <c r="G9" s="8">
        <v>2</v>
      </c>
      <c r="H9" s="25">
        <f>[1]!Table1[[#This Row],[Days completed]]/[1]!Table1[[#This Row],[Duration]]</f>
        <v>0.4</v>
      </c>
      <c r="I9" s="21">
        <v>582000</v>
      </c>
      <c r="J9" s="33">
        <v>195231</v>
      </c>
    </row>
    <row r="10" spans="1:15" x14ac:dyDescent="0.2">
      <c r="A10" s="1" t="s">
        <v>0</v>
      </c>
      <c r="B10" s="36" t="s">
        <v>14</v>
      </c>
      <c r="C10" s="2" t="s">
        <v>8</v>
      </c>
      <c r="D10" s="3">
        <v>43885</v>
      </c>
      <c r="E10" s="28">
        <v>9</v>
      </c>
      <c r="F10" s="3">
        <f>WORKDAY.INTL([1]!Table1[[#This Row],[Start Date]]-1,[1]!Table1[[#This Row],[Duration]],1)</f>
        <v>43895</v>
      </c>
      <c r="G10" s="4">
        <v>1</v>
      </c>
      <c r="H10" s="24">
        <f>[1]!Table1[[#This Row],[Days completed]]/[1]!Table1[[#This Row],[Duration]]</f>
        <v>0.1111111111111111</v>
      </c>
      <c r="I10" s="20">
        <v>562000</v>
      </c>
      <c r="J10" s="32">
        <v>74746</v>
      </c>
      <c r="M10" t="s">
        <v>36</v>
      </c>
      <c r="O10" s="31">
        <f>(I:I-J:J)</f>
        <v>487254</v>
      </c>
    </row>
    <row r="11" spans="1:15" x14ac:dyDescent="0.2">
      <c r="A11" s="5" t="s">
        <v>0</v>
      </c>
      <c r="B11" s="37" t="s">
        <v>15</v>
      </c>
      <c r="C11" s="6" t="s">
        <v>10</v>
      </c>
      <c r="D11" s="7">
        <v>43885</v>
      </c>
      <c r="E11" s="29">
        <v>6</v>
      </c>
      <c r="F11" s="7">
        <f>WORKDAY.INTL([1]!Table1[[#This Row],[Start Date]]-1,[1]!Table1[[#This Row],[Duration]],1)</f>
        <v>43892</v>
      </c>
      <c r="G11" s="8">
        <v>3</v>
      </c>
      <c r="H11" s="25">
        <f>[1]!Table1[[#This Row],[Days completed]]/[1]!Table1[[#This Row],[Duration]]</f>
        <v>0.5</v>
      </c>
      <c r="I11" s="21">
        <v>416000</v>
      </c>
      <c r="J11" s="33">
        <v>175015</v>
      </c>
    </row>
    <row r="12" spans="1:15" x14ac:dyDescent="0.2">
      <c r="A12" s="1" t="s">
        <v>16</v>
      </c>
      <c r="B12" s="36" t="s">
        <v>1</v>
      </c>
      <c r="C12" s="2" t="s">
        <v>2</v>
      </c>
      <c r="D12" s="3">
        <v>43879</v>
      </c>
      <c r="E12" s="28">
        <v>7</v>
      </c>
      <c r="F12" s="3">
        <f>WORKDAY.INTL([1]!Table1[[#This Row],[Start Date]]-1,[1]!Table1[[#This Row],[Duration]],1)</f>
        <v>43887</v>
      </c>
      <c r="G12" s="4">
        <v>7</v>
      </c>
      <c r="H12" s="24">
        <f>[1]!Table1[[#This Row],[Days completed]]/[1]!Table1[[#This Row],[Duration]]</f>
        <v>1</v>
      </c>
      <c r="I12" s="20">
        <v>293000</v>
      </c>
      <c r="J12" s="32">
        <v>273001</v>
      </c>
      <c r="M12" t="s">
        <v>37</v>
      </c>
      <c r="O12" s="39">
        <f>AVERAGE((H:H))</f>
        <v>0.43751984126984123</v>
      </c>
    </row>
    <row r="13" spans="1:15" x14ac:dyDescent="0.2">
      <c r="A13" s="5" t="s">
        <v>16</v>
      </c>
      <c r="B13" s="37" t="s">
        <v>3</v>
      </c>
      <c r="C13" s="6" t="s">
        <v>4</v>
      </c>
      <c r="D13" s="7">
        <v>43878</v>
      </c>
      <c r="E13" s="29">
        <v>9</v>
      </c>
      <c r="F13" s="7">
        <f>WORKDAY.INTL([1]!Table1[[#This Row],[Start Date]]-1,[1]!Table1[[#This Row],[Duration]],1)</f>
        <v>43888</v>
      </c>
      <c r="G13" s="8">
        <v>4</v>
      </c>
      <c r="H13" s="25">
        <f>[1]!Table1[[#This Row],[Days completed]]/[1]!Table1[[#This Row],[Duration]]</f>
        <v>0.44444444444444442</v>
      </c>
      <c r="I13" s="21">
        <v>224000</v>
      </c>
      <c r="J13" s="33">
        <v>57910</v>
      </c>
    </row>
    <row r="14" spans="1:15" x14ac:dyDescent="0.2">
      <c r="A14" s="1" t="s">
        <v>16</v>
      </c>
      <c r="B14" s="36" t="s">
        <v>5</v>
      </c>
      <c r="C14" s="2" t="s">
        <v>6</v>
      </c>
      <c r="D14" s="3">
        <v>43879</v>
      </c>
      <c r="E14" s="28">
        <v>8</v>
      </c>
      <c r="F14" s="3">
        <f>WORKDAY.INTL([1]!Table1[[#This Row],[Start Date]]-1,[1]!Table1[[#This Row],[Duration]],1)</f>
        <v>43888</v>
      </c>
      <c r="G14" s="4">
        <v>0</v>
      </c>
      <c r="H14" s="24">
        <f>[1]!Table1[[#This Row],[Days completed]]/[1]!Table1[[#This Row],[Duration]]</f>
        <v>0</v>
      </c>
      <c r="I14" s="20">
        <v>978000</v>
      </c>
      <c r="J14" s="32">
        <v>0</v>
      </c>
      <c r="M14" t="s">
        <v>39</v>
      </c>
      <c r="O14" s="27">
        <f>AVERAGE(E:E)</f>
        <v>6.65</v>
      </c>
    </row>
    <row r="15" spans="1:15" x14ac:dyDescent="0.2">
      <c r="A15" s="5" t="s">
        <v>16</v>
      </c>
      <c r="B15" s="37" t="s">
        <v>7</v>
      </c>
      <c r="C15" s="6" t="s">
        <v>8</v>
      </c>
      <c r="D15" s="7">
        <v>43881</v>
      </c>
      <c r="E15" s="29">
        <v>7</v>
      </c>
      <c r="F15" s="7">
        <f>WORKDAY.INTL([1]!Table1[[#This Row],[Start Date]]-1,[1]!Table1[[#This Row],[Duration]],1)</f>
        <v>43889</v>
      </c>
      <c r="G15" s="8">
        <v>3</v>
      </c>
      <c r="H15" s="25">
        <f>[1]!Table1[[#This Row],[Days completed]]/[1]!Table1[[#This Row],[Duration]]</f>
        <v>0.42857142857142855</v>
      </c>
      <c r="I15" s="21">
        <v>932000</v>
      </c>
      <c r="J15" s="33">
        <v>379157</v>
      </c>
    </row>
    <row r="16" spans="1:15" x14ac:dyDescent="0.2">
      <c r="A16" s="1" t="s">
        <v>16</v>
      </c>
      <c r="B16" s="36" t="s">
        <v>9</v>
      </c>
      <c r="C16" s="2" t="s">
        <v>10</v>
      </c>
      <c r="D16" s="3">
        <v>43882</v>
      </c>
      <c r="E16" s="28">
        <v>4</v>
      </c>
      <c r="F16" s="3">
        <f>WORKDAY.INTL([1]!Table1[[#This Row],[Start Date]]-1,[1]!Table1[[#This Row],[Duration]],1)</f>
        <v>43887</v>
      </c>
      <c r="G16" s="4">
        <v>1</v>
      </c>
      <c r="H16" s="24">
        <f>[1]!Table1[[#This Row],[Days completed]]/[1]!Table1[[#This Row],[Duration]]</f>
        <v>0.25</v>
      </c>
      <c r="I16" s="20">
        <v>854000</v>
      </c>
      <c r="J16" s="32">
        <v>322812</v>
      </c>
      <c r="M16" t="s">
        <v>40</v>
      </c>
      <c r="O16">
        <f>COUNTIF(H:H,100%)</f>
        <v>3</v>
      </c>
    </row>
    <row r="17" spans="1:10" x14ac:dyDescent="0.2">
      <c r="A17" s="5" t="s">
        <v>16</v>
      </c>
      <c r="B17" s="37" t="s">
        <v>11</v>
      </c>
      <c r="C17" s="6" t="s">
        <v>2</v>
      </c>
      <c r="D17" s="7">
        <v>43882</v>
      </c>
      <c r="E17" s="29">
        <v>6</v>
      </c>
      <c r="F17" s="7">
        <f>WORKDAY.INTL([1]!Table1[[#This Row],[Start Date]]-1,[1]!Table1[[#This Row],[Duration]],1)</f>
        <v>43889</v>
      </c>
      <c r="G17" s="8">
        <v>3</v>
      </c>
      <c r="H17" s="25">
        <f>[1]!Table1[[#This Row],[Days completed]]/[1]!Table1[[#This Row],[Duration]]</f>
        <v>0.5</v>
      </c>
      <c r="I17" s="21">
        <v>81000</v>
      </c>
      <c r="J17" s="33">
        <v>38461</v>
      </c>
    </row>
    <row r="18" spans="1:10" x14ac:dyDescent="0.2">
      <c r="A18" s="1" t="s">
        <v>16</v>
      </c>
      <c r="B18" s="36" t="s">
        <v>12</v>
      </c>
      <c r="C18" s="2" t="s">
        <v>4</v>
      </c>
      <c r="D18" s="3">
        <v>43885</v>
      </c>
      <c r="E18" s="28">
        <v>6</v>
      </c>
      <c r="F18" s="3">
        <f>WORKDAY.INTL([1]!Table1[[#This Row],[Start Date]]-1,[1]!Table1[[#This Row],[Duration]],1)</f>
        <v>43892</v>
      </c>
      <c r="G18" s="4">
        <v>5</v>
      </c>
      <c r="H18" s="24">
        <f>[1]!Table1[[#This Row],[Days completed]]/[1]!Table1[[#This Row],[Duration]]</f>
        <v>0.83333333333333337</v>
      </c>
      <c r="I18" s="20">
        <v>169000</v>
      </c>
      <c r="J18" s="32">
        <v>136468</v>
      </c>
    </row>
    <row r="19" spans="1:10" x14ac:dyDescent="0.2">
      <c r="A19" s="5" t="s">
        <v>16</v>
      </c>
      <c r="B19" s="37" t="s">
        <v>13</v>
      </c>
      <c r="C19" s="6" t="s">
        <v>6</v>
      </c>
      <c r="D19" s="7">
        <v>43886</v>
      </c>
      <c r="E19" s="29">
        <v>4</v>
      </c>
      <c r="F19" s="7">
        <f>WORKDAY.INTL([1]!Table1[[#This Row],[Start Date]]-1,[1]!Table1[[#This Row],[Duration]],1)</f>
        <v>43889</v>
      </c>
      <c r="G19" s="8">
        <v>1</v>
      </c>
      <c r="H19" s="25">
        <f>[1]!Table1[[#This Row],[Days completed]]/[1]!Table1[[#This Row],[Duration]]</f>
        <v>0.25</v>
      </c>
      <c r="I19" s="21">
        <v>61000</v>
      </c>
      <c r="J19" s="33">
        <v>12078</v>
      </c>
    </row>
    <row r="20" spans="1:10" x14ac:dyDescent="0.2">
      <c r="A20" s="1" t="s">
        <v>16</v>
      </c>
      <c r="B20" s="36" t="s">
        <v>14</v>
      </c>
      <c r="C20" s="2" t="s">
        <v>8</v>
      </c>
      <c r="D20" s="3">
        <v>43888</v>
      </c>
      <c r="E20" s="28">
        <v>7</v>
      </c>
      <c r="F20" s="3">
        <f>WORKDAY.INTL([1]!Table1[[#This Row],[Start Date]]-1,[1]!Table1[[#This Row],[Duration]],1)</f>
        <v>43896</v>
      </c>
      <c r="G20" s="4">
        <v>3</v>
      </c>
      <c r="H20" s="24">
        <f>[1]!Table1[[#This Row],[Days completed]]/[1]!Table1[[#This Row],[Duration]]</f>
        <v>0.42857142857142855</v>
      </c>
      <c r="I20" s="20">
        <v>645000</v>
      </c>
      <c r="J20" s="32">
        <v>273048</v>
      </c>
    </row>
    <row r="21" spans="1:10" x14ac:dyDescent="0.2">
      <c r="A21" s="5" t="s">
        <v>16</v>
      </c>
      <c r="B21" s="37" t="s">
        <v>15</v>
      </c>
      <c r="C21" s="6" t="s">
        <v>10</v>
      </c>
      <c r="D21" s="7">
        <v>43878</v>
      </c>
      <c r="E21" s="29">
        <v>3</v>
      </c>
      <c r="F21" s="7">
        <f>WORKDAY.INTL([1]!Table1[[#This Row],[Start Date]]-1,[1]!Table1[[#This Row],[Duration]],1)</f>
        <v>43880</v>
      </c>
      <c r="G21" s="8">
        <v>3</v>
      </c>
      <c r="H21" s="25">
        <f>[1]!Table1[[#This Row],[Days completed]]/[1]!Table1[[#This Row],[Duration]]</f>
        <v>1</v>
      </c>
      <c r="I21" s="21">
        <v>68000</v>
      </c>
      <c r="J21" s="33">
        <v>64987</v>
      </c>
    </row>
    <row r="22" spans="1:10" x14ac:dyDescent="0.2">
      <c r="A22" s="1" t="s">
        <v>17</v>
      </c>
      <c r="B22" s="36" t="s">
        <v>1</v>
      </c>
      <c r="C22" s="2" t="s">
        <v>2</v>
      </c>
      <c r="D22" s="3">
        <v>43878</v>
      </c>
      <c r="E22" s="28">
        <v>10</v>
      </c>
      <c r="F22" s="3">
        <f>WORKDAY.INTL([1]!Table1[[#This Row],[Start Date]]-1,[1]!Table1[[#This Row],[Duration]],1)</f>
        <v>43889</v>
      </c>
      <c r="G22" s="4">
        <v>5</v>
      </c>
      <c r="H22" s="24">
        <f>[1]!Table1[[#This Row],[Days completed]]/[1]!Table1[[#This Row],[Duration]]</f>
        <v>0.5</v>
      </c>
      <c r="I22" s="20">
        <v>839000</v>
      </c>
      <c r="J22" s="32">
        <v>406974</v>
      </c>
    </row>
    <row r="23" spans="1:10" x14ac:dyDescent="0.2">
      <c r="A23" s="5" t="s">
        <v>17</v>
      </c>
      <c r="B23" s="37" t="s">
        <v>3</v>
      </c>
      <c r="C23" s="6" t="s">
        <v>4</v>
      </c>
      <c r="D23" s="7">
        <v>43882</v>
      </c>
      <c r="E23" s="29">
        <v>5</v>
      </c>
      <c r="F23" s="7">
        <f>WORKDAY.INTL([1]!Table1[[#This Row],[Start Date]]-1,[1]!Table1[[#This Row],[Duration]],1)</f>
        <v>43888</v>
      </c>
      <c r="G23" s="8">
        <v>4</v>
      </c>
      <c r="H23" s="25">
        <f>[1]!Table1[[#This Row],[Days completed]]/[1]!Table1[[#This Row],[Duration]]</f>
        <v>0.8</v>
      </c>
      <c r="I23" s="21">
        <v>729000</v>
      </c>
      <c r="J23" s="33">
        <v>487139</v>
      </c>
    </row>
    <row r="24" spans="1:10" x14ac:dyDescent="0.2">
      <c r="A24" s="1" t="s">
        <v>17</v>
      </c>
      <c r="B24" s="36" t="s">
        <v>5</v>
      </c>
      <c r="C24" s="2" t="s">
        <v>6</v>
      </c>
      <c r="D24" s="3">
        <v>43885</v>
      </c>
      <c r="E24" s="28">
        <v>7</v>
      </c>
      <c r="F24" s="3">
        <f>WORKDAY.INTL([1]!Table1[[#This Row],[Start Date]]-1,[1]!Table1[[#This Row],[Duration]],1)</f>
        <v>43893</v>
      </c>
      <c r="G24" s="4">
        <v>3</v>
      </c>
      <c r="H24" s="24">
        <f>[1]!Table1[[#This Row],[Days completed]]/[1]!Table1[[#This Row],[Duration]]</f>
        <v>0.42857142857142855</v>
      </c>
      <c r="I24" s="20">
        <v>826000</v>
      </c>
      <c r="J24" s="32">
        <v>298186</v>
      </c>
    </row>
    <row r="25" spans="1:10" x14ac:dyDescent="0.2">
      <c r="A25" s="5" t="s">
        <v>17</v>
      </c>
      <c r="B25" s="37" t="s">
        <v>7</v>
      </c>
      <c r="C25" s="6" t="s">
        <v>8</v>
      </c>
      <c r="D25" s="7">
        <v>43887</v>
      </c>
      <c r="E25" s="29">
        <v>7</v>
      </c>
      <c r="F25" s="7">
        <f>WORKDAY.INTL([1]!Table1[[#This Row],[Start Date]]-1,[1]!Table1[[#This Row],[Duration]],1)</f>
        <v>43895</v>
      </c>
      <c r="G25" s="8">
        <v>2</v>
      </c>
      <c r="H25" s="25">
        <f>[1]!Table1[[#This Row],[Days completed]]/[1]!Table1[[#This Row],[Duration]]</f>
        <v>0.2857142857142857</v>
      </c>
      <c r="I25" s="21">
        <v>895000</v>
      </c>
      <c r="J25" s="33">
        <v>280583</v>
      </c>
    </row>
    <row r="26" spans="1:10" x14ac:dyDescent="0.2">
      <c r="A26" s="1" t="s">
        <v>17</v>
      </c>
      <c r="B26" s="36" t="s">
        <v>9</v>
      </c>
      <c r="C26" s="2" t="s">
        <v>10</v>
      </c>
      <c r="D26" s="3">
        <v>43889</v>
      </c>
      <c r="E26" s="28">
        <v>3</v>
      </c>
      <c r="F26" s="3">
        <f>WORKDAY.INTL([1]!Table1[[#This Row],[Start Date]]-1,[1]!Table1[[#This Row],[Duration]],1)</f>
        <v>43893</v>
      </c>
      <c r="G26" s="4">
        <v>2</v>
      </c>
      <c r="H26" s="24">
        <f>[1]!Table1[[#This Row],[Days completed]]/[1]!Table1[[#This Row],[Duration]]</f>
        <v>0.66666666666666663</v>
      </c>
      <c r="I26" s="20">
        <v>341000</v>
      </c>
      <c r="J26" s="32">
        <v>129785</v>
      </c>
    </row>
    <row r="27" spans="1:10" x14ac:dyDescent="0.2">
      <c r="A27" s="5" t="s">
        <v>18</v>
      </c>
      <c r="B27" s="37" t="s">
        <v>1</v>
      </c>
      <c r="C27" s="6" t="s">
        <v>2</v>
      </c>
      <c r="D27" s="7">
        <v>43892</v>
      </c>
      <c r="E27" s="29">
        <v>9</v>
      </c>
      <c r="F27" s="7">
        <f>WORKDAY.INTL([1]!Table1[[#This Row],[Start Date]]-1,[1]!Table1[[#This Row],[Duration]],1)</f>
        <v>43902</v>
      </c>
      <c r="G27" s="8">
        <v>8</v>
      </c>
      <c r="H27" s="25">
        <f>[1]!Table1[[#This Row],[Days completed]]/[1]!Table1[[#This Row],[Duration]]</f>
        <v>0.88888888888888884</v>
      </c>
      <c r="I27" s="21">
        <v>787000</v>
      </c>
      <c r="J27" s="33">
        <v>727188</v>
      </c>
    </row>
    <row r="28" spans="1:10" x14ac:dyDescent="0.2">
      <c r="A28" s="1" t="s">
        <v>18</v>
      </c>
      <c r="B28" s="36" t="s">
        <v>3</v>
      </c>
      <c r="C28" s="2" t="s">
        <v>4</v>
      </c>
      <c r="D28" s="3">
        <v>43892</v>
      </c>
      <c r="E28" s="28">
        <v>10</v>
      </c>
      <c r="F28" s="3">
        <f>WORKDAY.INTL([1]!Table1[[#This Row],[Start Date]]-1,[1]!Table1[[#This Row],[Duration]],1)</f>
        <v>43903</v>
      </c>
      <c r="G28" s="4">
        <v>2</v>
      </c>
      <c r="H28" s="24">
        <f>[1]!Table1[[#This Row],[Days completed]]/[1]!Table1[[#This Row],[Duration]]</f>
        <v>0.2</v>
      </c>
      <c r="I28" s="20">
        <v>228000</v>
      </c>
      <c r="J28" s="32">
        <v>47880</v>
      </c>
    </row>
    <row r="29" spans="1:10" x14ac:dyDescent="0.2">
      <c r="A29" s="5" t="s">
        <v>18</v>
      </c>
      <c r="B29" s="37" t="s">
        <v>5</v>
      </c>
      <c r="C29" s="6" t="s">
        <v>6</v>
      </c>
      <c r="D29" s="7">
        <v>43878</v>
      </c>
      <c r="E29" s="29">
        <v>4</v>
      </c>
      <c r="F29" s="7">
        <f>WORKDAY.INTL([1]!Table1[[#This Row],[Start Date]]-1,[1]!Table1[[#This Row],[Duration]],1)</f>
        <v>43881</v>
      </c>
      <c r="G29" s="8">
        <v>0</v>
      </c>
      <c r="H29" s="25">
        <f>[1]!Table1[[#This Row],[Days completed]]/[1]!Table1[[#This Row],[Duration]]</f>
        <v>0</v>
      </c>
      <c r="I29" s="21">
        <v>147000</v>
      </c>
      <c r="J29" s="33">
        <v>0</v>
      </c>
    </row>
    <row r="30" spans="1:10" x14ac:dyDescent="0.2">
      <c r="A30" s="1" t="s">
        <v>18</v>
      </c>
      <c r="B30" s="36" t="s">
        <v>7</v>
      </c>
      <c r="C30" s="2" t="s">
        <v>8</v>
      </c>
      <c r="D30" s="3">
        <v>43880</v>
      </c>
      <c r="E30" s="28">
        <v>8</v>
      </c>
      <c r="F30" s="3">
        <f>WORKDAY.INTL([1]!Table1[[#This Row],[Start Date]]-1,[1]!Table1[[#This Row],[Duration]],1)</f>
        <v>43889</v>
      </c>
      <c r="G30" s="4">
        <v>5</v>
      </c>
      <c r="H30" s="24">
        <f>[1]!Table1[[#This Row],[Days completed]]/[1]!Table1[[#This Row],[Duration]]</f>
        <v>0.625</v>
      </c>
      <c r="I30" s="20">
        <v>338000</v>
      </c>
      <c r="J30" s="32">
        <v>205123</v>
      </c>
    </row>
    <row r="31" spans="1:10" x14ac:dyDescent="0.2">
      <c r="A31" s="5" t="s">
        <v>18</v>
      </c>
      <c r="B31" s="37" t="s">
        <v>9</v>
      </c>
      <c r="C31" s="6" t="s">
        <v>10</v>
      </c>
      <c r="D31" s="7">
        <v>43885</v>
      </c>
      <c r="E31" s="29">
        <v>10</v>
      </c>
      <c r="F31" s="7">
        <f>WORKDAY.INTL([1]!Table1[[#This Row],[Start Date]]-1,[1]!Table1[[#This Row],[Duration]],1)</f>
        <v>43896</v>
      </c>
      <c r="G31" s="8">
        <v>3</v>
      </c>
      <c r="H31" s="25">
        <f>[1]!Table1[[#This Row],[Days completed]]/[1]!Table1[[#This Row],[Duration]]</f>
        <v>0.3</v>
      </c>
      <c r="I31" s="21">
        <v>857000</v>
      </c>
      <c r="J31" s="33">
        <v>305949</v>
      </c>
    </row>
    <row r="32" spans="1:10" x14ac:dyDescent="0.2">
      <c r="A32" s="1" t="s">
        <v>18</v>
      </c>
      <c r="B32" s="36" t="s">
        <v>11</v>
      </c>
      <c r="C32" s="2" t="s">
        <v>2</v>
      </c>
      <c r="D32" s="3">
        <v>43886</v>
      </c>
      <c r="E32" s="28">
        <v>6</v>
      </c>
      <c r="F32" s="3">
        <f>WORKDAY.INTL([1]!Table1[[#This Row],[Start Date]]-1,[1]!Table1[[#This Row],[Duration]],1)</f>
        <v>43893</v>
      </c>
      <c r="G32" s="4">
        <v>3</v>
      </c>
      <c r="H32" s="24">
        <f>[1]!Table1[[#This Row],[Days completed]]/[1]!Table1[[#This Row],[Duration]]</f>
        <v>0.5</v>
      </c>
      <c r="I32" s="20">
        <v>602000</v>
      </c>
      <c r="J32" s="32">
        <v>322371</v>
      </c>
    </row>
    <row r="33" spans="1:10" x14ac:dyDescent="0.2">
      <c r="A33" s="5" t="s">
        <v>18</v>
      </c>
      <c r="B33" s="37" t="s">
        <v>12</v>
      </c>
      <c r="C33" s="6" t="s">
        <v>4</v>
      </c>
      <c r="D33" s="7">
        <v>43886</v>
      </c>
      <c r="E33" s="29">
        <v>4</v>
      </c>
      <c r="F33" s="7">
        <f>WORKDAY.INTL([1]!Table1[[#This Row],[Start Date]]-1,[1]!Table1[[#This Row],[Duration]],1)</f>
        <v>43889</v>
      </c>
      <c r="G33" s="8">
        <v>2</v>
      </c>
      <c r="H33" s="25">
        <f>[1]!Table1[[#This Row],[Days completed]]/[1]!Table1[[#This Row],[Duration]]</f>
        <v>0.5</v>
      </c>
      <c r="I33" s="21">
        <v>990000</v>
      </c>
      <c r="J33" s="33">
        <v>451440</v>
      </c>
    </row>
    <row r="34" spans="1:10" x14ac:dyDescent="0.2">
      <c r="A34" s="1" t="s">
        <v>19</v>
      </c>
      <c r="B34" s="36" t="s">
        <v>1</v>
      </c>
      <c r="C34" s="2" t="s">
        <v>6</v>
      </c>
      <c r="D34" s="3">
        <v>43889</v>
      </c>
      <c r="E34" s="28">
        <v>8</v>
      </c>
      <c r="F34" s="3">
        <f>WORKDAY.INTL([1]!Table1[[#This Row],[Start Date]]-1,[1]!Table1[[#This Row],[Duration]],1)</f>
        <v>43900</v>
      </c>
      <c r="G34" s="4">
        <v>3</v>
      </c>
      <c r="H34" s="24">
        <f>[1]!Table1[[#This Row],[Days completed]]/[1]!Table1[[#This Row],[Duration]]</f>
        <v>0.375</v>
      </c>
      <c r="I34" s="20">
        <v>96000</v>
      </c>
      <c r="J34" s="32">
        <v>32256</v>
      </c>
    </row>
    <row r="35" spans="1:10" x14ac:dyDescent="0.2">
      <c r="A35" s="5" t="s">
        <v>19</v>
      </c>
      <c r="B35" s="37" t="s">
        <v>3</v>
      </c>
      <c r="C35" s="6" t="s">
        <v>8</v>
      </c>
      <c r="D35" s="7">
        <v>43892</v>
      </c>
      <c r="E35" s="29">
        <v>9</v>
      </c>
      <c r="F35" s="7">
        <f>WORKDAY.INTL([1]!Table1[[#This Row],[Start Date]]-1,[1]!Table1[[#This Row],[Duration]],1)</f>
        <v>43902</v>
      </c>
      <c r="G35" s="8">
        <v>4</v>
      </c>
      <c r="H35" s="25">
        <f>[1]!Table1[[#This Row],[Days completed]]/[1]!Table1[[#This Row],[Duration]]</f>
        <v>0.44444444444444442</v>
      </c>
      <c r="I35" s="21">
        <v>513000</v>
      </c>
      <c r="J35" s="33">
        <v>226233</v>
      </c>
    </row>
    <row r="36" spans="1:10" x14ac:dyDescent="0.2">
      <c r="A36" s="1" t="s">
        <v>19</v>
      </c>
      <c r="B36" s="36" t="s">
        <v>5</v>
      </c>
      <c r="C36" s="2" t="s">
        <v>10</v>
      </c>
      <c r="D36" s="3">
        <v>43881</v>
      </c>
      <c r="E36" s="28">
        <v>5</v>
      </c>
      <c r="F36" s="3">
        <f>WORKDAY.INTL([1]!Table1[[#This Row],[Start Date]]-1,[1]!Table1[[#This Row],[Duration]],1)</f>
        <v>43887</v>
      </c>
      <c r="G36" s="4">
        <v>3</v>
      </c>
      <c r="H36" s="24">
        <f>[1]!Table1[[#This Row],[Days completed]]/[1]!Table1[[#This Row],[Duration]]</f>
        <v>0.6</v>
      </c>
      <c r="I36" s="20">
        <v>616000</v>
      </c>
      <c r="J36" s="32">
        <v>401579</v>
      </c>
    </row>
    <row r="37" spans="1:10" x14ac:dyDescent="0.2">
      <c r="A37" s="5" t="s">
        <v>19</v>
      </c>
      <c r="B37" s="37" t="s">
        <v>7</v>
      </c>
      <c r="C37" s="6" t="s">
        <v>2</v>
      </c>
      <c r="D37" s="7">
        <v>43880</v>
      </c>
      <c r="E37" s="29">
        <v>3</v>
      </c>
      <c r="F37" s="7">
        <f>WORKDAY.INTL([1]!Table1[[#This Row],[Start Date]]-1,[1]!Table1[[#This Row],[Duration]],1)</f>
        <v>43882</v>
      </c>
      <c r="G37" s="8">
        <v>3</v>
      </c>
      <c r="H37" s="25">
        <f>[1]!Table1[[#This Row],[Days completed]]/[1]!Table1[[#This Row],[Duration]]</f>
        <v>1</v>
      </c>
      <c r="I37" s="21">
        <v>817000</v>
      </c>
      <c r="J37" s="33">
        <v>807069</v>
      </c>
    </row>
    <row r="38" spans="1:10" x14ac:dyDescent="0.2">
      <c r="A38" s="1" t="s">
        <v>19</v>
      </c>
      <c r="B38" s="36" t="s">
        <v>9</v>
      </c>
      <c r="C38" s="2" t="s">
        <v>4</v>
      </c>
      <c r="D38" s="3">
        <v>43882</v>
      </c>
      <c r="E38" s="28">
        <v>7</v>
      </c>
      <c r="F38" s="3">
        <f>WORKDAY.INTL([1]!Table1[[#This Row],[Start Date]]-1,[1]!Table1[[#This Row],[Duration]],1)</f>
        <v>43892</v>
      </c>
      <c r="G38" s="4">
        <v>3</v>
      </c>
      <c r="H38" s="24">
        <f>[1]!Table1[[#This Row],[Days completed]]/[1]!Table1[[#This Row],[Duration]]</f>
        <v>0.42857142857142855</v>
      </c>
      <c r="I38" s="20">
        <v>372000</v>
      </c>
      <c r="J38" s="32">
        <v>173166</v>
      </c>
    </row>
    <row r="39" spans="1:10" x14ac:dyDescent="0.2">
      <c r="A39" s="5" t="s">
        <v>19</v>
      </c>
      <c r="B39" s="37" t="s">
        <v>11</v>
      </c>
      <c r="C39" s="6" t="s">
        <v>6</v>
      </c>
      <c r="D39" s="7">
        <v>43885</v>
      </c>
      <c r="E39" s="29">
        <v>10</v>
      </c>
      <c r="F39" s="7">
        <f>WORKDAY.INTL([1]!Table1[[#This Row],[Start Date]]-1,[1]!Table1[[#This Row],[Duration]],1)</f>
        <v>43896</v>
      </c>
      <c r="G39" s="8">
        <v>2</v>
      </c>
      <c r="H39" s="25">
        <f>[1]!Table1[[#This Row],[Days completed]]/[1]!Table1[[#This Row],[Duration]]</f>
        <v>0.2</v>
      </c>
      <c r="I39" s="21">
        <v>50000</v>
      </c>
      <c r="J39" s="33">
        <v>8400</v>
      </c>
    </row>
    <row r="40" spans="1:10" x14ac:dyDescent="0.2">
      <c r="A40" s="1" t="s">
        <v>19</v>
      </c>
      <c r="B40" s="36" t="s">
        <v>12</v>
      </c>
      <c r="C40" s="2" t="s">
        <v>8</v>
      </c>
      <c r="D40" s="3">
        <v>43885</v>
      </c>
      <c r="E40" s="28">
        <v>10</v>
      </c>
      <c r="F40" s="3">
        <f>WORKDAY.INTL([1]!Table1[[#This Row],[Start Date]]-1,[1]!Table1[[#This Row],[Duration]],1)</f>
        <v>43896</v>
      </c>
      <c r="G40" s="4">
        <v>3</v>
      </c>
      <c r="H40" s="24">
        <f>[1]!Table1[[#This Row],[Days completed]]/[1]!Table1[[#This Row],[Duration]]</f>
        <v>0.3</v>
      </c>
      <c r="I40" s="20">
        <v>807000</v>
      </c>
      <c r="J40" s="32">
        <v>262679</v>
      </c>
    </row>
    <row r="41" spans="1:10" x14ac:dyDescent="0.2">
      <c r="A41" s="12" t="s">
        <v>19</v>
      </c>
      <c r="B41" s="38" t="s">
        <v>13</v>
      </c>
      <c r="C41" s="13" t="s">
        <v>10</v>
      </c>
      <c r="D41" s="14">
        <v>43885</v>
      </c>
      <c r="E41" s="30">
        <v>3</v>
      </c>
      <c r="F41" s="14">
        <f>WORKDAY.INTL([1]!Table1[[#This Row],[Start Date]]-1,[1]!Table1[[#This Row],[Duration]],1)</f>
        <v>43887</v>
      </c>
      <c r="G41" s="15">
        <v>0</v>
      </c>
      <c r="H41" s="26">
        <f>[1]!Table1[[#This Row],[Days completed]]/[1]!Table1[[#This Row],[Duration]]</f>
        <v>0</v>
      </c>
      <c r="I41" s="22">
        <v>691000</v>
      </c>
      <c r="J41" s="3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I40" sqref="I40"/>
    </sheetView>
  </sheetViews>
  <sheetFormatPr defaultRowHeight="14.2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trust</dc:creator>
  <cp:lastModifiedBy>trust</cp:lastModifiedBy>
  <dcterms:created xsi:type="dcterms:W3CDTF">2026-05-30T13:09:42Z</dcterms:created>
  <dcterms:modified xsi:type="dcterms:W3CDTF">2026-07-08T15:23:28Z</dcterms:modified>
</cp:coreProperties>
</file>